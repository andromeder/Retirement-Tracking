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Net Worth Monthly" sheetId="2" r:id="rId6"/>
    <sheet state="visible" name="Inv Forecast - Data" sheetId="3" r:id="rId7"/>
    <sheet state="visible" name="Investment Performanc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tc={16fe6065-4f7a-4cbe-96b6-bf2bcd7aa3c8}</author>
    <author>tc={49e735e1-af04-4445-a8f8-a81e0c0fd914}</author>
    <author>tc={7e8755f5-186d-426a-87d0-eef88013fc8f}</author>
    <author>tc={87b0a54e-01c9-4777-a0d0-08b61e867774}</author>
    <author>tc={bbde36c7-058c-4ed9-a445-e7b8102a22f5}</author>
    <author>tc={d0f15a8f-20bd-4919-b9a0-5ffaeec80db6}</author>
    <author>tc={d88d7960-395d-4c73-8b16-41a7d3bd24eb}</author>
    <author>tc={f9466761-1cf4-42fc-8c4e-369cf9c366b8}</author>
  </authors>
  <commentList>
    <comment authorId="0" xr:uid="{16fe6065-4f7a-4cbe-96b6-bf2bcd7aa3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share of Mesrie $170x4/year and Evelyn 75x2/month + annualized prescriptions
Reply:
	Estimate needed for co-pays of other appointments, eg GP, specialists, physio
</t>
      </text>
    </comment>
    <comment authorId="1" xr:uid="{49e735e1-af04-4445-a8f8-a81e0c0fd9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Finn's meds
</t>
      </text>
    </comment>
    <comment authorId="2" xr:uid="{7e8755f5-186d-426a-87d0-eef88013fc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correct?
Reply:
	y
</t>
      </text>
    </comment>
    <comment authorId="3" xr:uid="{87b0a54e-01c9-4777-a0d0-08b61e8677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Roughly: 3 sets of 1:1 + 8 months of reformer 2x week
</t>
      </text>
    </comment>
    <comment authorId="4" xr:uid="{bbde36c7-058c-4ed9-a445-e7b8102a22f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 Entry - Internet at Single Residence, 120$ a month
</t>
      </text>
    </comment>
    <comment authorId="5" xr:uid="{d0f15a8f-20bd-4919-b9a0-5ffaeec80d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 Monthly Entry: 
Water Heater Rental - 40
Water - 60
Electricity - 160
Gas - 130
</t>
      </text>
    </comment>
    <comment authorId="6" xr:uid="{d88d7960-395d-4c73-8b16-41a7d3bd24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 Entry: 
Our car had a significant down payment so we assume that the ongoing payments would be higher going forward
Also factor in gas - 200$ a month
</t>
      </text>
    </comment>
    <comment authorId="7" xr:uid="{f9466761-1cf4-42fc-8c4e-369cf9c366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Canadian internet?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tc={243f02de-f5fe-475d-a975-26fc694a1b8f}</author>
  </authors>
  <commentList>
    <comment authorId="0" xr:uid="{243f02de-f5fe-475d-a975-26fc694a1b8f}" ref="S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Updated to show current commute value
</t>
      </text>
    </comment>
  </commentList>
</comments>
</file>

<file path=xl/sharedStrings.xml><?xml version="1.0" encoding="utf-8"?>
<sst xmlns="http://schemas.openxmlformats.org/spreadsheetml/2006/main" count="103" uniqueCount="94">
  <si>
    <t>FX Rate</t>
  </si>
  <si>
    <t>Rate of Return</t>
  </si>
  <si>
    <t>Monthly (Gross)</t>
  </si>
  <si>
    <t>Annual Gross</t>
  </si>
  <si>
    <t>Monthly Net</t>
  </si>
  <si>
    <t>Monthly Contrib</t>
  </si>
  <si>
    <t>Tax Rate</t>
  </si>
  <si>
    <t>Assets</t>
  </si>
  <si>
    <t>Jan</t>
  </si>
  <si>
    <t>Feb</t>
  </si>
  <si>
    <t>Mar</t>
  </si>
  <si>
    <t>Jul</t>
  </si>
  <si>
    <t>Aug</t>
  </si>
  <si>
    <t>Dec</t>
  </si>
  <si>
    <t>June</t>
  </si>
  <si>
    <t>October</t>
  </si>
  <si>
    <t xml:space="preserve">December </t>
  </si>
  <si>
    <t>January</t>
  </si>
  <si>
    <t xml:space="preserve">June </t>
  </si>
  <si>
    <t xml:space="preserve">July </t>
  </si>
  <si>
    <t>August</t>
  </si>
  <si>
    <t>December</t>
  </si>
  <si>
    <t>February</t>
  </si>
  <si>
    <t>2026 Performance</t>
  </si>
  <si>
    <t>2025 Performance</t>
  </si>
  <si>
    <t>All-Time Performance</t>
  </si>
  <si>
    <t>Cash</t>
  </si>
  <si>
    <t>Equity</t>
  </si>
  <si>
    <t>RBC Savings</t>
  </si>
  <si>
    <t>CPP 55</t>
  </si>
  <si>
    <t>Annual Lump Sum 1</t>
  </si>
  <si>
    <t>Pension 55</t>
  </si>
  <si>
    <t>Annual Lump Sum 2</t>
  </si>
  <si>
    <t>Real Estate</t>
  </si>
  <si>
    <t>RBC Chequing</t>
  </si>
  <si>
    <t xml:space="preserve">Retirement Withdrawal - High Risk </t>
  </si>
  <si>
    <t xml:space="preserve">Retirement Withdrawal - Low Risk </t>
  </si>
  <si>
    <t xml:space="preserve">Chase </t>
  </si>
  <si>
    <t>Age</t>
  </si>
  <si>
    <t xml:space="preserve">Year </t>
  </si>
  <si>
    <t>Original Inv Value Fcst</t>
  </si>
  <si>
    <t xml:space="preserve">Actual  Cash + Invest </t>
  </si>
  <si>
    <t>Investment + Cash + Outstanding</t>
  </si>
  <si>
    <t>Real Estate Value</t>
  </si>
  <si>
    <t>Forecast Real Estate Liabilities</t>
  </si>
  <si>
    <t>Forecast Real Estate Net Equity</t>
  </si>
  <si>
    <t>Original Fcst Net Worth</t>
  </si>
  <si>
    <t>Actual Net Worth</t>
  </si>
  <si>
    <t>Actual &amp; Outstanding Net Worth</t>
  </si>
  <si>
    <t>Chase - Lisa</t>
  </si>
  <si>
    <t>Type</t>
  </si>
  <si>
    <t>Account</t>
  </si>
  <si>
    <t>RBC Savings - Lisa</t>
  </si>
  <si>
    <t xml:space="preserve">Benchmark </t>
  </si>
  <si>
    <t xml:space="preserve">S&amp;P 500 </t>
  </si>
  <si>
    <t>RBC TFSA</t>
  </si>
  <si>
    <t>Whole Market (Vanguard VTI)</t>
  </si>
  <si>
    <t xml:space="preserve">Whole Canadian Market </t>
  </si>
  <si>
    <t xml:space="preserve">Managed </t>
  </si>
  <si>
    <t xml:space="preserve">RBC WM </t>
  </si>
  <si>
    <t>Wealthsimple</t>
  </si>
  <si>
    <t>Total Cash</t>
  </si>
  <si>
    <t xml:space="preserve">Retirement </t>
  </si>
  <si>
    <t>Sunlife</t>
  </si>
  <si>
    <t>Investments</t>
  </si>
  <si>
    <t>US Retirement</t>
  </si>
  <si>
    <t>Fidelity</t>
  </si>
  <si>
    <t>Lisa 401K</t>
  </si>
  <si>
    <t>Self-DIrected</t>
  </si>
  <si>
    <t xml:space="preserve">Questrade </t>
  </si>
  <si>
    <t>RBC Dom Reg</t>
  </si>
  <si>
    <t>RBC Dom Non Reg</t>
  </si>
  <si>
    <t>RBC Dom - *400</t>
  </si>
  <si>
    <t>RBC Dom - *605</t>
  </si>
  <si>
    <t>401K Lisa</t>
  </si>
  <si>
    <t>SunLife</t>
  </si>
  <si>
    <t>Total Investments</t>
  </si>
  <si>
    <t>Deferred Items</t>
  </si>
  <si>
    <t>Shareworks</t>
  </si>
  <si>
    <t>RBC DB</t>
  </si>
  <si>
    <t>After Tax Total Deferred</t>
  </si>
  <si>
    <t>Fixed Assets</t>
  </si>
  <si>
    <t>House</t>
  </si>
  <si>
    <t xml:space="preserve">31 old brewery </t>
  </si>
  <si>
    <t>Car</t>
  </si>
  <si>
    <t>Motorcycle</t>
  </si>
  <si>
    <t>Total Fixed Assets</t>
  </si>
  <si>
    <t>Total Assets</t>
  </si>
  <si>
    <t>Liabilities</t>
  </si>
  <si>
    <t>Mortgage - 200 Queen St</t>
  </si>
  <si>
    <t>Mortgage - 31 Old Brewery</t>
  </si>
  <si>
    <t>Credit Line</t>
  </si>
  <si>
    <t>Total Liabilities</t>
  </si>
  <si>
    <t>Overall Net Worth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</si>
</sst>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m - d"/>
    <numFmt numFmtId="166" formatCode="#,##0&quot;$&quot;"/>
    <numFmt numFmtId="167" formatCode="0.000"/>
  </numFmts>
  <fonts count="11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b/>
      <u/>
      <sz val="8.0"/>
      <color theme="1"/>
      <name val="Arial"/>
      <scheme val="minor"/>
    </font>
    <font>
      <b/>
      <i/>
      <sz val="8.0"/>
      <color theme="1"/>
      <name val="Arial"/>
      <scheme val="minor"/>
    </font>
    <font>
      <i/>
      <sz val="8.0"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4">
    <border/>
    <border>
      <bottom style="medium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top style="medium">
        <color rgb="FF000000"/>
      </top>
      <bottom style="thick">
        <color rgb="FF38761D"/>
      </bottom>
    </border>
    <border>
      <left style="thick">
        <color rgb="FF000000"/>
      </left>
      <top style="medium">
        <color rgb="FF000000"/>
      </top>
      <bottom style="thick">
        <color rgb="FF38761D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9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1" fillId="0" fontId="3" numFmtId="0" xfId="0" applyBorder="1" applyFont="1"/>
    <xf borderId="0" fillId="0" fontId="4" numFmtId="0" xfId="0" applyFont="1"/>
    <xf borderId="1" fillId="0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horizontal="center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165" xfId="0" applyAlignment="1" applyBorder="1" applyFont="1" applyNumberFormat="1">
      <alignment horizontal="center" readingOrder="0"/>
    </xf>
    <xf borderId="3" fillId="0" fontId="1" numFmtId="4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4" numFmtId="164" xfId="0" applyAlignment="1" applyFont="1" applyNumberFormat="1">
      <alignment readingOrder="0"/>
    </xf>
    <xf borderId="4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4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4" fillId="0" fontId="4" numFmtId="164" xfId="0" applyAlignment="1" applyBorder="1" applyFont="1" applyNumberFormat="1">
      <alignment horizontal="center" readingOrder="0"/>
    </xf>
    <xf borderId="4" fillId="0" fontId="4" numFmtId="166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3" numFmtId="164" xfId="0" applyAlignment="1" applyFont="1" applyNumberFormat="1">
      <alignment horizontal="center" readingOrder="0"/>
    </xf>
    <xf borderId="4" fillId="0" fontId="4" numFmtId="10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horizontal="center" readingOrder="0"/>
    </xf>
    <xf borderId="2" fillId="0" fontId="9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 readingOrder="0"/>
    </xf>
    <xf borderId="0" fillId="0" fontId="10" numFmtId="0" xfId="0" applyAlignment="1" applyFont="1">
      <alignment horizontal="left" readingOrder="0"/>
    </xf>
    <xf borderId="5" fillId="2" fontId="1" numFmtId="0" xfId="0" applyAlignment="1" applyBorder="1" applyFill="1" applyFont="1">
      <alignment horizontal="center" readingOrder="0"/>
    </xf>
    <xf borderId="5" fillId="2" fontId="1" numFmtId="164" xfId="0" applyAlignment="1" applyBorder="1" applyFill="1" applyFont="1" applyNumberFormat="1">
      <alignment horizontal="center" readingOrder="0"/>
    </xf>
    <xf borderId="6" fillId="3" fontId="1" numFmtId="164" xfId="0" applyAlignment="1" applyBorder="1" applyFill="1" applyFont="1" applyNumberFormat="1">
      <alignment horizontal="center" readingOrder="0"/>
    </xf>
    <xf borderId="5" fillId="3" fontId="1" numFmtId="164" xfId="0" applyAlignment="1" applyBorder="1" applyFill="1" applyFont="1" applyNumberFormat="1">
      <alignment horizontal="center" readingOrder="0"/>
    </xf>
    <xf borderId="6" fillId="2" fontId="1" numFmtId="164" xfId="0" applyAlignment="1" applyBorder="1" applyFill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7" fillId="0" fontId="3" numFmtId="164" xfId="0" applyAlignment="1" applyBorder="1" applyFont="1" applyNumberFormat="1">
      <alignment horizontal="center"/>
    </xf>
    <xf borderId="7" fillId="0" fontId="3" numFmtId="164" xfId="0" applyAlignment="1" applyBorder="1" applyFont="1" applyNumberFormat="1">
      <alignment horizontal="center" readingOrder="0"/>
    </xf>
    <xf borderId="7" fillId="0" fontId="3" numFmtId="164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4" fontId="3" numFmtId="164" xfId="0" applyAlignment="1" applyFill="1" applyFont="1" applyNumberFormat="1">
      <alignment horizontal="center"/>
    </xf>
    <xf borderId="5" fillId="2" fontId="1" numFmtId="0" xfId="0" applyAlignment="1" applyBorder="1" applyFill="1" applyFont="1">
      <alignment readingOrder="0"/>
    </xf>
    <xf borderId="5" fillId="2" fontId="1" numFmtId="164" xfId="0" applyAlignment="1" applyBorder="1" applyFill="1" applyFont="1" applyNumberFormat="1">
      <alignment readingOrder="0"/>
    </xf>
    <xf borderId="0" fillId="0" fontId="3" numFmtId="167" xfId="0" applyFont="1" applyNumberFormat="1"/>
    <xf borderId="5" fillId="2" fontId="1" numFmtId="10" xfId="0" applyAlignment="1" applyBorder="1" applyFill="1" applyFont="1" applyNumberFormat="1">
      <alignment horizontal="center" readingOrder="0"/>
    </xf>
    <xf borderId="4" fillId="0" fontId="3" numFmtId="0" xfId="0" applyAlignment="1" applyBorder="1" applyFont="1">
      <alignment horizontal="center"/>
    </xf>
    <xf borderId="0" fillId="5" fontId="4" numFmtId="164" xfId="0" applyAlignment="1" applyFill="1" applyFont="1" applyNumberFormat="1">
      <alignment readingOrder="0"/>
    </xf>
    <xf borderId="4" fillId="0" fontId="4" numFmtId="164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4" numFmtId="4" xfId="0" applyAlignment="1" applyBorder="1" applyFont="1" applyNumberFormat="1">
      <alignment horizontal="center"/>
    </xf>
    <xf borderId="0" fillId="0" fontId="3" numFmtId="0" xfId="0" applyFont="1"/>
    <xf borderId="8" fillId="6" fontId="2" numFmtId="0" xfId="0" applyAlignment="1" applyBorder="1" applyFill="1" applyFont="1">
      <alignment horizontal="center" readingOrder="0"/>
    </xf>
    <xf borderId="8" fillId="6" fontId="2" numFmtId="164" xfId="0" applyAlignment="1" applyBorder="1" applyFill="1" applyFont="1" applyNumberFormat="1">
      <alignment horizontal="center" readingOrder="0"/>
    </xf>
    <xf borderId="8" fillId="3" fontId="2" numFmtId="164" xfId="0" applyAlignment="1" applyBorder="1" applyFill="1" applyFont="1" applyNumberFormat="1">
      <alignment horizontal="center" readingOrder="0"/>
    </xf>
    <xf borderId="9" fillId="6" fontId="2" numFmtId="164" xfId="0" applyAlignment="1" applyBorder="1" applyFill="1" applyFont="1" applyNumberFormat="1">
      <alignment horizontal="center" readingOrder="0"/>
    </xf>
    <xf borderId="0" fillId="6" fontId="2" numFmtId="164" xfId="0" applyAlignment="1" applyFill="1" applyFont="1" applyNumberFormat="1">
      <alignment horizontal="center" readingOrder="0"/>
    </xf>
    <xf borderId="8" fillId="6" fontId="2" numFmtId="0" xfId="0" applyAlignment="1" applyBorder="1" applyFill="1" applyFont="1">
      <alignment horizontal="center"/>
    </xf>
    <xf borderId="8" fillId="6" fontId="2" numFmtId="164" xfId="0" applyAlignment="1" applyBorder="1" applyFill="1" applyFont="1" applyNumberFormat="1">
      <alignment horizontal="center"/>
    </xf>
    <xf borderId="9" fillId="6" fontId="2" numFmtId="164" xfId="0" applyAlignment="1" applyBorder="1" applyFill="1" applyFont="1" applyNumberFormat="1">
      <alignment horizontal="center"/>
    </xf>
    <xf borderId="0" fillId="6" fontId="2" numFmtId="164" xfId="0" applyAlignment="1" applyFill="1" applyFont="1" applyNumberFormat="1">
      <alignment horizontal="center"/>
    </xf>
    <xf borderId="4" fillId="0" fontId="4" numFmtId="10" xfId="0" applyAlignment="1" applyBorder="1" applyFont="1" applyNumberFormat="1">
      <alignment horizontal="center" readingOrder="0"/>
    </xf>
    <xf borderId="0" fillId="7" fontId="3" numFmtId="164" xfId="0" applyAlignment="1" applyFill="1" applyFont="1" applyNumberFormat="1">
      <alignment horizontal="center"/>
    </xf>
    <xf borderId="0" fillId="5" fontId="4" numFmtId="0" xfId="0" applyAlignment="1" applyFill="1" applyFont="1">
      <alignment readingOrder="0"/>
    </xf>
    <xf borderId="0" fillId="5" fontId="4" numFmtId="164" xfId="0" applyAlignment="1" applyFill="1" applyFont="1" applyNumberFormat="1">
      <alignment horizontal="center" readingOrder="0"/>
    </xf>
    <xf borderId="5" fillId="2" fontId="1" numFmtId="0" xfId="0" applyAlignment="1" applyBorder="1" applyFill="1" applyFont="1">
      <alignment readingOrder="0"/>
    </xf>
    <xf borderId="5" fillId="2" fontId="1" numFmtId="164" xfId="0" applyAlignment="1" applyBorder="1" applyFill="1" applyFont="1" applyNumberFormat="1">
      <alignment horizontal="center"/>
    </xf>
    <xf borderId="10" fillId="2" fontId="1" numFmtId="164" xfId="0" applyAlignment="1" applyBorder="1" applyFill="1" applyFont="1" applyNumberFormat="1">
      <alignment horizontal="center"/>
    </xf>
    <xf borderId="10" fillId="2" fontId="1" numFmtId="10" xfId="0" applyAlignment="1" applyBorder="1" applyFill="1" applyFont="1" applyNumberFormat="1">
      <alignment horizontal="center"/>
    </xf>
    <xf borderId="0" fillId="0" fontId="4" numFmtId="4" xfId="0" applyAlignment="1" applyFont="1" applyNumberFormat="1">
      <alignment horizontal="center"/>
    </xf>
    <xf borderId="4" fillId="0" fontId="4" numFmtId="164" xfId="0" applyAlignment="1" applyBorder="1" applyFont="1" applyNumberFormat="1">
      <alignment horizontal="center"/>
    </xf>
    <xf borderId="11" fillId="0" fontId="7" numFmtId="0" xfId="0" applyAlignment="1" applyBorder="1" applyFont="1">
      <alignment readingOrder="0"/>
    </xf>
    <xf borderId="11" fillId="0" fontId="4" numFmtId="164" xfId="0" applyAlignment="1" applyBorder="1" applyFont="1" applyNumberFormat="1">
      <alignment horizontal="center" readingOrder="0"/>
    </xf>
    <xf borderId="12" fillId="0" fontId="4" numFmtId="164" xfId="0" applyAlignment="1" applyBorder="1" applyFont="1" applyNumberFormat="1">
      <alignment horizontal="center" readingOrder="0"/>
    </xf>
    <xf borderId="12" fillId="0" fontId="4" numFmtId="166" xfId="0" applyAlignment="1" applyBorder="1" applyFont="1" applyNumberFormat="1">
      <alignment horizontal="center" readingOrder="0"/>
    </xf>
    <xf borderId="12" fillId="0" fontId="4" numFmtId="164" xfId="0" applyAlignment="1" applyBorder="1" applyFont="1" applyNumberFormat="1">
      <alignment horizontal="center" readingOrder="0"/>
    </xf>
    <xf borderId="12" fillId="0" fontId="4" numFmtId="10" xfId="0" applyAlignment="1" applyBorder="1" applyFont="1" applyNumberFormat="1">
      <alignment horizontal="center"/>
    </xf>
    <xf borderId="11" fillId="2" fontId="1" numFmtId="0" xfId="0" applyAlignment="1" applyBorder="1" applyFill="1" applyFont="1">
      <alignment readingOrder="0"/>
    </xf>
    <xf borderId="11" fillId="2" fontId="1" numFmtId="164" xfId="0" applyAlignment="1" applyBorder="1" applyFill="1" applyFont="1" applyNumberFormat="1">
      <alignment horizontal="center" readingOrder="0"/>
    </xf>
    <xf borderId="12" fillId="2" fontId="1" numFmtId="164" xfId="0" applyAlignment="1" applyBorder="1" applyFill="1" applyFont="1" applyNumberFormat="1">
      <alignment horizontal="center" readingOrder="0"/>
    </xf>
    <xf borderId="12" fillId="2" fontId="1" numFmtId="164" xfId="0" applyAlignment="1" applyBorder="1" applyFill="1" applyFont="1" applyNumberFormat="1">
      <alignment horizontal="center" readingOrder="0"/>
    </xf>
    <xf borderId="12" fillId="2" fontId="1" numFmtId="10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center"/>
    </xf>
    <xf borderId="4" fillId="0" fontId="4" numFmtId="0" xfId="0" applyAlignment="1" applyBorder="1" applyFont="1">
      <alignment horizontal="center" readingOrder="0"/>
    </xf>
    <xf borderId="4" fillId="0" fontId="4" numFmtId="164" xfId="0" applyAlignment="1" applyBorder="1" applyFont="1" applyNumberFormat="1">
      <alignment horizontal="center" readingOrder="0"/>
    </xf>
    <xf borderId="10" fillId="2" fontId="1" numFmtId="164" xfId="0" applyAlignment="1" applyBorder="1" applyFill="1" applyFont="1" applyNumberFormat="1">
      <alignment horizontal="center" readingOrder="0"/>
    </xf>
    <xf borderId="10" fillId="2" fontId="1" numFmtId="164" xfId="0" applyAlignment="1" applyBorder="1" applyFill="1" applyFont="1" applyNumberFormat="1">
      <alignment horizontal="center" readingOrder="0"/>
    </xf>
    <xf borderId="10" fillId="2" fontId="1" numFmtId="10" xfId="0" applyAlignment="1" applyBorder="1" applyFill="1" applyFont="1" applyNumberFormat="1">
      <alignment horizontal="center" readingOrder="0"/>
    </xf>
    <xf borderId="11" fillId="2" fontId="1" numFmtId="164" xfId="0" applyAlignment="1" applyBorder="1" applyFill="1" applyFont="1" applyNumberFormat="1">
      <alignment horizontal="center"/>
    </xf>
    <xf borderId="12" fillId="2" fontId="1" numFmtId="164" xfId="0" applyAlignment="1" applyBorder="1" applyFill="1" applyFont="1" applyNumberFormat="1">
      <alignment horizontal="center"/>
    </xf>
    <xf borderId="13" fillId="2" fontId="1" numFmtId="164" xfId="0" applyAlignment="1" applyBorder="1" applyFill="1" applyFont="1" applyNumberFormat="1">
      <alignment horizontal="center"/>
    </xf>
    <xf borderId="4" fillId="0" fontId="3" numFmtId="164" xfId="0" applyAlignment="1" applyBorder="1" applyFont="1" applyNumberFormat="1">
      <alignment horizontal="center"/>
    </xf>
    <xf borderId="4" fillId="0" fontId="3" numFmtId="0" xfId="0" applyBorder="1" applyFont="1"/>
    <xf borderId="4" fillId="0" fontId="3" numFmtId="4" xfId="0" applyBorder="1" applyFont="1" applyNumberFormat="1"/>
    <xf borderId="2" fillId="0" fontId="1" numFmtId="0" xfId="0" applyAlignment="1" applyBorder="1" applyFont="1">
      <alignment readingOrder="0"/>
    </xf>
    <xf borderId="2" fillId="0" fontId="4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3" fillId="0" fontId="3" numFmtId="164" xfId="0" applyAlignment="1" applyBorder="1" applyFont="1" applyNumberFormat="1">
      <alignment horizontal="center"/>
    </xf>
    <xf borderId="3" fillId="0" fontId="3" numFmtId="0" xfId="0" applyBorder="1" applyFont="1"/>
    <xf borderId="3" fillId="0" fontId="3" numFmtId="4" xfId="0" applyBorder="1" applyFont="1" applyNumberFormat="1"/>
    <xf borderId="11" fillId="0" fontId="1" numFmtId="0" xfId="0" applyAlignment="1" applyBorder="1" applyFont="1">
      <alignment readingOrder="0"/>
    </xf>
    <xf borderId="11" fillId="0" fontId="4" numFmtId="166" xfId="0" applyAlignment="1" applyBorder="1" applyFont="1" applyNumberFormat="1">
      <alignment horizontal="center" readingOrder="0"/>
    </xf>
    <xf borderId="11" fillId="0" fontId="4" numFmtId="10" xfId="0" applyAlignment="1" applyBorder="1" applyFont="1" applyNumberFormat="1">
      <alignment horizontal="center" readingOrder="0"/>
    </xf>
    <xf borderId="11" fillId="0" fontId="1" numFmtId="164" xfId="0" applyAlignment="1" applyBorder="1" applyFont="1" applyNumberFormat="1">
      <alignment horizontal="center" readingOrder="0"/>
    </xf>
    <xf borderId="11" fillId="0" fontId="1" numFmtId="10" xfId="0" applyAlignment="1" applyBorder="1" applyFont="1" applyNumberFormat="1">
      <alignment horizontal="center" readingOrder="0"/>
    </xf>
    <xf borderId="11" fillId="0" fontId="1" numFmtId="4" xfId="0" applyAlignment="1" applyBorder="1" applyFont="1" applyNumberFormat="1">
      <alignment horizontal="center" readingOrder="0"/>
    </xf>
    <xf borderId="11" fillId="8" fontId="1" numFmtId="0" xfId="0" applyAlignment="1" applyBorder="1" applyFill="1" applyFont="1">
      <alignment readingOrder="0"/>
    </xf>
    <xf borderId="11" fillId="8" fontId="1" numFmtId="164" xfId="0" applyAlignment="1" applyBorder="1" applyFill="1" applyFont="1" applyNumberFormat="1">
      <alignment horizontal="center" readingOrder="0"/>
    </xf>
    <xf borderId="12" fillId="8" fontId="1" numFmtId="164" xfId="0" applyAlignment="1" applyBorder="1" applyFill="1" applyFont="1" applyNumberFormat="1">
      <alignment horizontal="center" readingOrder="0"/>
    </xf>
    <xf borderId="12" fillId="8" fontId="1" numFmtId="10" xfId="0" applyAlignment="1" applyBorder="1" applyFill="1" applyFont="1" applyNumberFormat="1">
      <alignment horizontal="center" readingOrder="0"/>
    </xf>
    <xf borderId="5" fillId="9" fontId="1" numFmtId="0" xfId="0" applyAlignment="1" applyBorder="1" applyFill="1" applyFont="1">
      <alignment readingOrder="0"/>
    </xf>
    <xf borderId="5" fillId="9" fontId="1" numFmtId="164" xfId="0" applyAlignment="1" applyBorder="1" applyFill="1" applyFont="1" applyNumberFormat="1">
      <alignment horizontal="center"/>
    </xf>
    <xf borderId="10" fillId="9" fontId="1" numFmtId="164" xfId="0" applyAlignment="1" applyBorder="1" applyFill="1" applyFont="1" applyNumberFormat="1">
      <alignment horizontal="center"/>
    </xf>
    <xf borderId="10" fillId="9" fontId="1" numFmtId="10" xfId="0" applyAlignment="1" applyBorder="1" applyFill="1" applyFont="1" applyNumberForma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Investments: Actual and Anticipated vs Forecast </a:t>
            </a:r>
          </a:p>
        </c:rich>
      </c:tx>
      <c:layout>
        <c:manualLayout>
          <c:xMode val="edge"/>
          <c:yMode val="edge"/>
          <c:x val="0.018817148760330575"/>
          <c:y val="0.050039062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'Inv Forecast - Data'!$C$10:$C$11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'Inv Forecast - Data'!$B$12:$B$25</c:f>
            </c:strRef>
          </c:cat>
          <c:val>
            <c:numRef>
              <c:f>'Inv Forecast - Data'!$C$12:$C$25</c:f>
              <c:numCache/>
            </c:numRef>
          </c:val>
        </c:ser>
        <c:ser>
          <c:idx val="1"/>
          <c:order val="1"/>
          <c:tx>
            <c:strRef>
              <c:f>'Inv Forecast - Data'!$D$10:$D$11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'Inv Forecast - Data'!$B$12:$B$25</c:f>
            </c:strRef>
          </c:cat>
          <c:val>
            <c:numRef>
              <c:f>'Inv Forecast - Data'!$D$12:$D$25</c:f>
              <c:numCache/>
            </c:numRef>
          </c:val>
        </c:ser>
        <c:ser>
          <c:idx val="2"/>
          <c:order val="2"/>
          <c:tx>
            <c:strRef>
              <c:f>'Inv Forecast - Data'!$E$10:$E$11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'Inv Forecast - Data'!$B$12:$B$25</c:f>
            </c:strRef>
          </c:cat>
          <c:val>
            <c:numRef>
              <c:f>'Inv Forecast - Data'!$E$12:$E$25</c:f>
              <c:numCache/>
            </c:numRef>
          </c:val>
        </c:ser>
        <c:axId val="1376690765"/>
        <c:axId val="2005809526"/>
      </c:barChart>
      <c:catAx>
        <c:axId val="1376690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809526"/>
      </c:catAx>
      <c:valAx>
        <c:axId val="2005809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6907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Real Estate: Value, Liabilities, and Equity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'Inv Forecast - Data'!$F$10:$F$11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'Inv Forecast - Data'!$B$12:$B$25</c:f>
            </c:strRef>
          </c:cat>
          <c:val>
            <c:numRef>
              <c:f>'Inv Forecast - Data'!$F$12:$F$25</c:f>
              <c:numCache/>
            </c:numRef>
          </c:val>
        </c:ser>
        <c:ser>
          <c:idx val="1"/>
          <c:order val="1"/>
          <c:tx>
            <c:strRef>
              <c:f>'Inv Forecast - Data'!$G$10:$G$11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'Inv Forecast - Data'!$B$12:$B$25</c:f>
            </c:strRef>
          </c:cat>
          <c:val>
            <c:numRef>
              <c:f>'Inv Forecast - Data'!$G$12:$G$25</c:f>
              <c:numCache/>
            </c:numRef>
          </c:val>
        </c:ser>
        <c:ser>
          <c:idx val="2"/>
          <c:order val="2"/>
          <c:tx>
            <c:strRef>
              <c:f>'Inv Forecast - Data'!$H$10:$H$11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'Inv Forecast - Data'!$B$12:$B$25</c:f>
            </c:strRef>
          </c:cat>
          <c:val>
            <c:numRef>
              <c:f>'Inv Forecast - Data'!$H$12:$H$25</c:f>
              <c:numCache/>
            </c:numRef>
          </c:val>
        </c:ser>
        <c:axId val="276062640"/>
        <c:axId val="941516633"/>
      </c:barChart>
      <c:catAx>
        <c:axId val="27606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516633"/>
      </c:catAx>
      <c:valAx>
        <c:axId val="941516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60626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Managed Portfolio Performance vs. Benchmark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'Investment Performance'!$B$2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'Investment Performance'!$C$1:$E$1</c:f>
            </c:strRef>
          </c:cat>
          <c:val>
            <c:numRef>
              <c:f>'Investment Performance'!$C$2:$E$2</c:f>
              <c:numCache/>
            </c:numRef>
          </c:val>
          <c:smooth val="0"/>
        </c:ser>
        <c:ser>
          <c:idx val="1"/>
          <c:order val="1"/>
          <c:tx>
            <c:strRef>
              <c:f>'Investment Performance'!$B$3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'Investment Performance'!$C$1:$E$1</c:f>
            </c:strRef>
          </c:cat>
          <c:val>
            <c:numRef>
              <c:f>'Investment Performance'!$C$3:$E$3</c:f>
              <c:numCache/>
            </c:numRef>
          </c:val>
          <c:smooth val="0"/>
        </c:ser>
        <c:ser>
          <c:idx val="2"/>
          <c:order val="2"/>
          <c:tx>
            <c:strRef>
              <c:f>'Investment Performance'!$B$5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'Investment Performance'!$C$1:$E$1</c:f>
            </c:strRef>
          </c:cat>
          <c:val>
            <c:numRef>
              <c:f>'Investment Performance'!$C$5:$E$5</c:f>
              <c:numCache/>
            </c:numRef>
          </c:val>
          <c:smooth val="0"/>
        </c:ser>
        <c:axId val="1474969103"/>
        <c:axId val="1722882285"/>
      </c:lineChart>
      <c:catAx>
        <c:axId val="1474969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882285"/>
      </c:catAx>
      <c:valAx>
        <c:axId val="1722882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969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Net Worth: Original Forecast vs Actual vs Actual and Oustanding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'Inv Forecast - Data'!$I$10:$I$11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'Inv Forecast - Data'!$B$12:$B$25</c:f>
            </c:strRef>
          </c:cat>
          <c:val>
            <c:numRef>
              <c:f>'Inv Forecast - Data'!$I$12:$I$25</c:f>
              <c:numCache/>
            </c:numRef>
          </c:val>
        </c:ser>
        <c:ser>
          <c:idx val="1"/>
          <c:order val="1"/>
          <c:tx>
            <c:strRef>
              <c:f>'Inv Forecast - Data'!$J$10:$J$11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'Inv Forecast - Data'!$B$12:$B$25</c:f>
            </c:strRef>
          </c:cat>
          <c:val>
            <c:numRef>
              <c:f>'Inv Forecast - Data'!$J$12:$J$25</c:f>
              <c:numCache/>
            </c:numRef>
          </c:val>
        </c:ser>
        <c:ser>
          <c:idx val="2"/>
          <c:order val="2"/>
          <c:tx>
            <c:strRef>
              <c:f>'Inv Forecast - Data'!$K$10:$K$11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'Inv Forecast - Data'!$B$12:$B$25</c:f>
            </c:strRef>
          </c:cat>
          <c:val>
            <c:numRef>
              <c:f>'Inv Forecast - Data'!$K$12:$K$25</c:f>
              <c:numCache/>
            </c:numRef>
          </c:val>
        </c:ser>
        <c:axId val="588497519"/>
        <c:axId val="163352422"/>
      </c:barChart>
      <c:catAx>
        <c:axId val="588497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52422"/>
      </c:catAx>
      <c:valAx>
        <c:axId val="163352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497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Managed Portfolio Performance vs. Benchmark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'Investment Performance'!$B$2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'Investment Performance'!$C$1:$E$1</c:f>
            </c:strRef>
          </c:cat>
          <c:val>
            <c:numRef>
              <c:f>'Investment Performance'!$C$2:$E$2</c:f>
              <c:numCache/>
            </c:numRef>
          </c:val>
          <c:smooth val="0"/>
        </c:ser>
        <c:ser>
          <c:idx val="1"/>
          <c:order val="1"/>
          <c:tx>
            <c:strRef>
              <c:f>'Investment Performance'!$B$3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'Investment Performance'!$C$1:$E$1</c:f>
            </c:strRef>
          </c:cat>
          <c:val>
            <c:numRef>
              <c:f>'Investment Performance'!$C$3:$E$3</c:f>
              <c:numCache/>
            </c:numRef>
          </c:val>
          <c:smooth val="0"/>
        </c:ser>
        <c:ser>
          <c:idx val="2"/>
          <c:order val="2"/>
          <c:tx>
            <c:strRef>
              <c:f>'Investment Performance'!$B$5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'Investment Performance'!$C$1:$E$1</c:f>
            </c:strRef>
          </c:cat>
          <c:val>
            <c:numRef>
              <c:f>'Investment Performance'!$C$5:$E$5</c:f>
              <c:numCache/>
            </c:numRef>
          </c:val>
          <c:smooth val="0"/>
        </c:ser>
        <c:axId val="1212559065"/>
        <c:axId val="799142119"/>
      </c:lineChart>
      <c:catAx>
        <c:axId val="1212559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142119"/>
      </c:catAx>
      <c:valAx>
        <c:axId val="799142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559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114300</xdr:rowOff>
    </xdr:from>
    <xdr:ext cx="5886450" cy="4381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219075</xdr:colOff>
      <xdr:row>14</xdr:row>
      <xdr:rowOff>114300</xdr:rowOff>
    </xdr:from>
    <xdr:ext cx="5715000" cy="4381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38</xdr:row>
      <xdr:rowOff>47625</xdr:rowOff>
    </xdr:from>
    <xdr:ext cx="58864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</xdr:colOff>
      <xdr:row>0</xdr:row>
      <xdr:rowOff>0</xdr:rowOff>
    </xdr:from>
    <xdr:ext cx="11696700" cy="28575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0</xdr:row>
      <xdr:rowOff>200025</xdr:rowOff>
    </xdr:from>
    <xdr:ext cx="73914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atthew Merritt" id="{96d73127-4f7c-47ee-84de-1f59ca71bc0f}" providerId="google-sheets"/>
  <x18tc:person displayName="Lisa Gayhart" id="{82c64579-9efd-4a4c-8bfb-54cede551a1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1-01-19T00:33:48.00" personId="{96d73127-4f7c-47ee-84de-1f59ca71bc0f}" id="{d0f15a8f-20bd-4919-b9a0-5ffaeec80db6}" done="0">
    <x18tc:text xml:space="preserve">Manual Monthly Entry: 
Water Heater Rental - 40
Water - 60
Electricity - 160
Gas - 130</x18tc:text>
  </x18tc:threadedComment>
  <x18tc:threadedComment ref="A1" dT="2021-01-19T00:36:14.00" personId="{96d73127-4f7c-47ee-84de-1f59ca71bc0f}" id="{d88d7960-395d-4c73-8b16-41a7d3bd24eb}" done="0">
    <x18tc:text xml:space="preserve">Manual Entry: 
Our car had a significant down payment so we assume that the ongoing payments would be higher going forward
Also factor in gas - 200$ a month</x18tc:text>
  </x18tc:threadedComment>
  <x18tc:threadedComment ref="A1" dT="2021-01-19T00:09:50.00" personId="{96d73127-4f7c-47ee-84de-1f59ca71bc0f}" id="{bbde36c7-058c-4ed9-a445-e7b8102a22f5}" done="0">
    <x18tc:text xml:space="preserve">Manual Entry - Internet at Single Residence, 120$ a month</x18tc:text>
  </x18tc:threadedComment>
  <x18tc:threadedComment ref="A1" dT="2022-08-07T20:31:52.00" personId="{82c64579-9efd-4a4c-8bfb-54cede551a19}" id="{49e735e1-af04-4445-a8f8-a81e0c0fd914}" done="1">
    <x18tc:text xml:space="preserve">Finn's meds</x18tc:text>
  </x18tc:threadedComment>
  <x18tc:threadedComment ref="A1" dT="2022-08-07T20:35:26.00" personId="{82c64579-9efd-4a4c-8bfb-54cede551a19}" id="{16fe6065-4f7a-4cbe-96b6-bf2bcd7aa3c8}" done="0">
    <x18tc:text xml:space="preserve">My share of Mesrie $170x4/year and Evelyn 75x2/month + annualized prescriptions</x18tc:text>
  </x18tc:threadedComment>
  <x18tc:threadedComment ref="A1" dT="2022-08-07T20:36:09.00" personId="{82c64579-9efd-4a4c-8bfb-54cede551a19}" id="{ce7eb051-c036-4782-bf15-235ac0a4663d}" parentId="{16fe6065-4f7a-4cbe-96b6-bf2bcd7aa3c8}">
    <x18tc:text xml:space="preserve">Estimate needed for co-pays of other appointments, eg GP, specialists, physio</x18tc:text>
  </x18tc:threadedComment>
  <x18tc:threadedComment ref="A1" dT="2022-08-07T20:39:37.00" personId="{82c64579-9efd-4a4c-8bfb-54cede551a19}" id="{f9466761-1cf4-42fc-8c4e-369cf9c366b8}" done="1">
    <x18tc:text xml:space="preserve">Is this Canadian internet?</x18tc:text>
  </x18tc:threadedComment>
  <x18tc:threadedComment ref="A1" dT="2022-08-07T20:39:50.00" personId="{82c64579-9efd-4a4c-8bfb-54cede551a19}" id="{7e8755f5-186d-426a-87d0-eef88013fc8f}" done="1">
    <x18tc:text xml:space="preserve">Is this correct?</x18tc:text>
  </x18tc:threadedComment>
  <x18tc:threadedComment ref="A1" dT="2022-09-05T18:10:54.00" personId="{96d73127-4f7c-47ee-84de-1f59ca71bc0f}" id="{77d0b5e3-e231-434b-985e-a5e68eb4f836}" parentId="{7e8755f5-186d-426a-87d0-eef88013fc8f}">
    <x18tc:text xml:space="preserve">y</x18tc:text>
  </x18tc:threadedComment>
  <x18tc:threadedComment ref="A1" dT="2022-08-07T20:53:38.00" personId="{82c64579-9efd-4a4c-8bfb-54cede551a19}" id="{87b0a54e-01c9-4777-a0d0-08b61e867774}" done="0">
    <x18tc:text xml:space="preserve">Roughly: 3 sets of 1:1 + 8 months of reformer 2x week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27" dT="2026-07-05T22:31:28.00" personId="{96d73127-4f7c-47ee-84de-1f59ca71bc0f}" id="{243f02de-f5fe-475d-a975-26fc694a1b8f}" done="1">
    <x18tc:text xml:space="preserve">Updated to show current commute value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37">
      <c r="N37" s="19"/>
    </row>
    <row r="40">
      <c r="F40" s="5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hidden="1" min="2" max="2" width="12.75"/>
    <col customWidth="1" hidden="1" min="3" max="3" width="12.88"/>
    <col hidden="1" min="4" max="5" width="12.63"/>
    <col customWidth="1" hidden="1" min="6" max="6" width="12.63"/>
    <col hidden="1" min="7" max="7" width="12.63"/>
    <col customWidth="1" hidden="1" min="8" max="8" width="13.13"/>
    <col customWidth="1" hidden="1" min="9" max="9" width="12.88"/>
    <col customWidth="1" hidden="1" min="10" max="14" width="13.13"/>
    <col customWidth="1" hidden="1" min="15" max="18" width="12.88"/>
    <col customWidth="1" min="19" max="19" width="12.88"/>
    <col customWidth="1" min="20" max="20" width="16.13"/>
    <col customWidth="1" min="21" max="22" width="12.88"/>
    <col customWidth="1" min="23" max="23" width="15.25"/>
  </cols>
  <sheetData>
    <row r="1">
      <c r="A1" s="1" t="s">
        <v>0</v>
      </c>
      <c r="B1" s="6">
        <f>IFERROR(__xludf.DUMMYFUNCTION("googlefinance(""Currency:USDCAD"")"),1.42464998)</f>
        <v>1.42464998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13.5" customHeight="1">
      <c r="A2" s="11" t="s">
        <v>6</v>
      </c>
      <c r="B2" s="6">
        <v>0.5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ht="13.5" customHeight="1">
      <c r="A3" s="11"/>
      <c r="H3" s="4"/>
    </row>
    <row r="4">
      <c r="A4" s="13" t="s">
        <v>7</v>
      </c>
      <c r="B4" s="13" t="s">
        <v>8</v>
      </c>
      <c r="C4" s="13" t="s">
        <v>9</v>
      </c>
      <c r="D4" s="13" t="s">
        <v>10</v>
      </c>
      <c r="E4" s="13" t="s">
        <v>11</v>
      </c>
      <c r="F4" s="13" t="s">
        <v>12</v>
      </c>
      <c r="G4" s="14" t="s">
        <v>13</v>
      </c>
      <c r="H4" s="15">
        <v>45315.0</v>
      </c>
      <c r="I4" s="14" t="s">
        <v>14</v>
      </c>
      <c r="J4" s="14" t="s">
        <v>15</v>
      </c>
      <c r="K4" s="14" t="s">
        <v>16</v>
      </c>
      <c r="L4" s="14" t="s">
        <v>17</v>
      </c>
      <c r="M4" s="14" t="s">
        <v>18</v>
      </c>
      <c r="N4" s="14" t="s">
        <v>19</v>
      </c>
      <c r="O4" s="14" t="s">
        <v>20</v>
      </c>
      <c r="P4" s="14" t="s">
        <v>21</v>
      </c>
      <c r="Q4" s="16" t="s">
        <v>22</v>
      </c>
      <c r="R4" s="14" t="s">
        <v>18</v>
      </c>
      <c r="S4" s="14" t="s">
        <v>19</v>
      </c>
      <c r="T4" s="14" t="s">
        <v>20</v>
      </c>
      <c r="U4" s="14" t="s">
        <v>23</v>
      </c>
      <c r="V4" s="14" t="s">
        <v>24</v>
      </c>
      <c r="W4" s="14" t="s">
        <v>25</v>
      </c>
    </row>
    <row r="5">
      <c r="A5" s="17" t="s">
        <v>26</v>
      </c>
      <c r="B5" s="18"/>
      <c r="C5" s="19"/>
      <c r="D5" s="19"/>
      <c r="E5" s="19"/>
      <c r="F5" s="20"/>
      <c r="G5" s="21"/>
      <c r="H5" s="22"/>
      <c r="I5" s="22"/>
      <c r="J5" s="22"/>
      <c r="K5" s="22"/>
      <c r="L5" s="22"/>
      <c r="M5" s="22"/>
      <c r="N5" s="22"/>
      <c r="O5" s="22"/>
      <c r="P5" s="22"/>
      <c r="Q5" s="23"/>
      <c r="R5" s="22"/>
      <c r="S5" s="22"/>
      <c r="T5" s="22"/>
      <c r="U5" s="22"/>
      <c r="V5" s="22"/>
      <c r="W5" s="22"/>
      <c r="X5" s="19"/>
      <c r="Y5" s="19"/>
      <c r="Z5" s="19"/>
      <c r="AA5" s="19"/>
    </row>
    <row r="6">
      <c r="A6" s="24" t="s">
        <v>28</v>
      </c>
      <c r="B6" s="25">
        <v>160000.0</v>
      </c>
      <c r="C6" s="25">
        <v>255336.0</v>
      </c>
      <c r="D6" s="25">
        <v>244385.0</v>
      </c>
      <c r="E6" s="25">
        <v>103923.0</v>
      </c>
      <c r="F6" s="25">
        <v>86000.0</v>
      </c>
      <c r="G6" s="27">
        <v>84243.0</v>
      </c>
      <c r="H6" s="27">
        <v>84500.0</v>
      </c>
      <c r="I6" s="28">
        <v>156000.0</v>
      </c>
      <c r="J6" s="28">
        <v>12284.0</v>
      </c>
      <c r="K6" s="27">
        <v>35000.0</v>
      </c>
      <c r="L6" s="27">
        <v>52000.0</v>
      </c>
      <c r="M6" s="27">
        <v>228000.0</v>
      </c>
      <c r="N6" s="27">
        <v>215000.0</v>
      </c>
      <c r="O6" s="27">
        <v>213275.0</v>
      </c>
      <c r="P6" s="27">
        <v>348047.0</v>
      </c>
      <c r="Q6" s="27">
        <v>328000.0</v>
      </c>
      <c r="R6" s="27">
        <v>353000.0</v>
      </c>
      <c r="S6" s="27">
        <v>325000.0</v>
      </c>
      <c r="T6" s="27">
        <v>276598.0</v>
      </c>
      <c r="U6" s="32">
        <f t="shared" ref="U6:U13" si="1">(T6-Q6)/Q6</f>
        <v>-0.1567134146</v>
      </c>
      <c r="V6" s="32">
        <f t="shared" ref="V6:V14" si="2">(P6-L6)/L6</f>
        <v>5.693211538</v>
      </c>
      <c r="W6" s="32">
        <f t="shared" ref="W6:W14" si="3">(T6-B6)/B6</f>
        <v>0.7287375</v>
      </c>
    </row>
    <row r="7">
      <c r="A7" s="24" t="s">
        <v>34</v>
      </c>
      <c r="B7" s="25">
        <v>2000.0</v>
      </c>
      <c r="C7" s="25">
        <v>0.0</v>
      </c>
      <c r="D7" s="25">
        <v>0.0</v>
      </c>
      <c r="E7" s="25">
        <v>45.83</v>
      </c>
      <c r="F7" s="25">
        <v>45.83</v>
      </c>
      <c r="G7" s="27">
        <v>0.0</v>
      </c>
      <c r="H7" s="27">
        <v>0.0</v>
      </c>
      <c r="I7" s="28">
        <v>0.0</v>
      </c>
      <c r="J7" s="28">
        <v>71.34</v>
      </c>
      <c r="K7" s="27">
        <v>21655.0</v>
      </c>
      <c r="L7" s="27">
        <v>10000.0</v>
      </c>
      <c r="M7" s="27">
        <v>56000.0</v>
      </c>
      <c r="N7" s="27">
        <v>75000.0</v>
      </c>
      <c r="O7" s="27">
        <v>71306.0</v>
      </c>
      <c r="P7" s="27">
        <v>83267.0</v>
      </c>
      <c r="Q7" s="27">
        <v>48700.0</v>
      </c>
      <c r="R7" s="27">
        <v>12424.0</v>
      </c>
      <c r="S7" s="27">
        <v>0.0</v>
      </c>
      <c r="T7" s="27">
        <v>45138.0</v>
      </c>
      <c r="U7" s="32">
        <f t="shared" si="1"/>
        <v>-0.07314168378</v>
      </c>
      <c r="V7" s="32">
        <f t="shared" si="2"/>
        <v>7.3267</v>
      </c>
      <c r="W7" s="32">
        <f t="shared" si="3"/>
        <v>21.569</v>
      </c>
    </row>
    <row r="8">
      <c r="A8" s="24" t="s">
        <v>37</v>
      </c>
      <c r="B8" s="25">
        <f>95000*B1</f>
        <v>135341.7481</v>
      </c>
      <c r="C8" s="25">
        <v>0.0</v>
      </c>
      <c r="D8" s="25">
        <f>8000*B1</f>
        <v>11397.19984</v>
      </c>
      <c r="E8" s="25">
        <v>18555.0</v>
      </c>
      <c r="F8" s="25">
        <f>23000*B1</f>
        <v>32766.94954</v>
      </c>
      <c r="G8" s="27">
        <v>113598.0</v>
      </c>
      <c r="H8" s="27">
        <f>113000*B1</f>
        <v>160985.4477</v>
      </c>
      <c r="I8" s="28">
        <v>22000.0</v>
      </c>
      <c r="J8" s="28">
        <f>(15000*B1)</f>
        <v>21369.7497</v>
      </c>
      <c r="K8" s="27">
        <f>2000*B1</f>
        <v>2849.29996</v>
      </c>
      <c r="L8" s="27">
        <v>0.0</v>
      </c>
      <c r="M8" s="27">
        <v>2000.0</v>
      </c>
      <c r="N8" s="27">
        <v>52000.0</v>
      </c>
      <c r="O8" s="27">
        <f>42000*B1</f>
        <v>59835.29916</v>
      </c>
      <c r="P8" s="27">
        <f>45000*B1</f>
        <v>64109.2491</v>
      </c>
      <c r="Q8" s="27">
        <f>52000*B1</f>
        <v>74081.79896</v>
      </c>
      <c r="R8" s="27">
        <f>62000*B1</f>
        <v>88328.29876</v>
      </c>
      <c r="S8" s="27">
        <f>60000*B1</f>
        <v>85478.9988</v>
      </c>
      <c r="T8" s="27">
        <f>63000*B1</f>
        <v>89752.94874</v>
      </c>
      <c r="U8" s="32">
        <f t="shared" si="1"/>
        <v>0.2115384615</v>
      </c>
      <c r="V8" s="32" t="str">
        <f t="shared" si="2"/>
        <v>#DIV/0!</v>
      </c>
      <c r="W8" s="32">
        <f t="shared" si="3"/>
        <v>-0.3368421053</v>
      </c>
    </row>
    <row r="9">
      <c r="A9" s="24" t="s">
        <v>28</v>
      </c>
      <c r="B9" s="25">
        <v>2000.0</v>
      </c>
      <c r="C9" s="25">
        <v>0.0</v>
      </c>
      <c r="D9" s="25">
        <v>0.0</v>
      </c>
      <c r="E9" s="25">
        <v>0.0</v>
      </c>
      <c r="F9" s="25">
        <v>0.0</v>
      </c>
      <c r="G9" s="27">
        <v>0.0</v>
      </c>
      <c r="H9" s="27">
        <v>0.0</v>
      </c>
      <c r="I9" s="28">
        <v>0.0</v>
      </c>
      <c r="J9" s="28">
        <v>0.0</v>
      </c>
      <c r="K9" s="27">
        <v>0.0</v>
      </c>
      <c r="L9" s="27">
        <v>0.0</v>
      </c>
      <c r="M9" s="28">
        <v>0.0</v>
      </c>
      <c r="N9" s="27">
        <v>0.0</v>
      </c>
      <c r="O9" s="27">
        <v>0.0</v>
      </c>
      <c r="P9" s="27">
        <v>0.0</v>
      </c>
      <c r="Q9" s="27">
        <v>0.0</v>
      </c>
      <c r="R9" s="27">
        <v>0.0</v>
      </c>
      <c r="S9" s="27">
        <v>0.0</v>
      </c>
      <c r="T9" s="27">
        <v>0.0</v>
      </c>
      <c r="U9" s="32" t="str">
        <f t="shared" si="1"/>
        <v>#DIV/0!</v>
      </c>
      <c r="V9" s="32" t="str">
        <f t="shared" si="2"/>
        <v>#DIV/0!</v>
      </c>
      <c r="W9" s="32">
        <f t="shared" si="3"/>
        <v>-1</v>
      </c>
    </row>
    <row r="10">
      <c r="A10" s="24" t="s">
        <v>49</v>
      </c>
      <c r="B10" s="25">
        <f>2500*B1</f>
        <v>3561.62495</v>
      </c>
      <c r="C10" s="25">
        <f>2500*B1</f>
        <v>3561.62495</v>
      </c>
      <c r="D10" s="25">
        <f>2500*B1</f>
        <v>3561.62495</v>
      </c>
      <c r="E10" s="25">
        <f t="shared" ref="E10:F10" si="4">2500*$B$1</f>
        <v>3561.62495</v>
      </c>
      <c r="F10" s="25">
        <f t="shared" si="4"/>
        <v>3561.62495</v>
      </c>
      <c r="G10" s="27">
        <v>3000.0</v>
      </c>
      <c r="H10" s="27">
        <v>3000.0</v>
      </c>
      <c r="I10" s="28">
        <v>3000.0</v>
      </c>
      <c r="J10" s="28">
        <v>3000.0</v>
      </c>
      <c r="K10" s="27">
        <v>3000.0</v>
      </c>
      <c r="L10" s="27">
        <v>3000.0</v>
      </c>
      <c r="M10" s="27">
        <f>13000*B1</f>
        <v>18520.44974</v>
      </c>
      <c r="N10" s="27">
        <f>5000</f>
        <v>5000</v>
      </c>
      <c r="O10" s="27">
        <v>5000.0</v>
      </c>
      <c r="P10" s="27">
        <f>2800*B1</f>
        <v>3989.019944</v>
      </c>
      <c r="Q10" s="27">
        <v>3000.0</v>
      </c>
      <c r="R10" s="27">
        <f>10000*B1</f>
        <v>14246.4998</v>
      </c>
      <c r="S10" s="27">
        <f>10000*B1</f>
        <v>14246.4998</v>
      </c>
      <c r="T10" s="27">
        <v>4000.0</v>
      </c>
      <c r="U10" s="32">
        <f t="shared" si="1"/>
        <v>0.3333333333</v>
      </c>
      <c r="V10" s="32">
        <f t="shared" si="2"/>
        <v>0.3296733147</v>
      </c>
      <c r="W10" s="32">
        <f t="shared" si="3"/>
        <v>0.1230828782</v>
      </c>
    </row>
    <row r="11">
      <c r="A11" s="24" t="s">
        <v>52</v>
      </c>
      <c r="B11" s="25">
        <v>6000.0</v>
      </c>
      <c r="C11" s="25">
        <v>6000.0</v>
      </c>
      <c r="D11" s="25">
        <v>6000.0</v>
      </c>
      <c r="E11" s="25">
        <v>6000.0</v>
      </c>
      <c r="F11" s="25">
        <v>6000.0</v>
      </c>
      <c r="G11" s="27">
        <v>6000.0</v>
      </c>
      <c r="H11" s="27">
        <v>6000.0</v>
      </c>
      <c r="I11" s="28">
        <v>6000.0</v>
      </c>
      <c r="J11" s="28">
        <v>6000.0</v>
      </c>
      <c r="K11" s="27">
        <v>6000.0</v>
      </c>
      <c r="L11" s="27">
        <v>6000.0</v>
      </c>
      <c r="M11" s="27">
        <v>6000.0</v>
      </c>
      <c r="N11" s="27">
        <v>6000.0</v>
      </c>
      <c r="O11" s="27">
        <v>6000.0</v>
      </c>
      <c r="P11" s="27">
        <v>6000.0</v>
      </c>
      <c r="Q11" s="27">
        <v>6000.0</v>
      </c>
      <c r="R11" s="27">
        <v>6000.0</v>
      </c>
      <c r="S11" s="27">
        <v>6000.0</v>
      </c>
      <c r="T11" s="27">
        <v>6000.0</v>
      </c>
      <c r="U11" s="32">
        <f t="shared" si="1"/>
        <v>0</v>
      </c>
      <c r="V11" s="32">
        <f t="shared" si="2"/>
        <v>0</v>
      </c>
      <c r="W11" s="32">
        <f t="shared" si="3"/>
        <v>0</v>
      </c>
    </row>
    <row r="12">
      <c r="A12" s="24" t="s">
        <v>55</v>
      </c>
      <c r="B12" s="25">
        <v>10000.0</v>
      </c>
      <c r="C12" s="25">
        <v>10000.0</v>
      </c>
      <c r="D12" s="25">
        <v>10000.0</v>
      </c>
      <c r="E12" s="25">
        <v>10000.0</v>
      </c>
      <c r="F12" s="25">
        <v>10000.0</v>
      </c>
      <c r="G12" s="27">
        <v>10000.0</v>
      </c>
      <c r="H12" s="27">
        <v>10000.0</v>
      </c>
      <c r="I12" s="28">
        <v>10000.0</v>
      </c>
      <c r="J12" s="28">
        <v>10000.0</v>
      </c>
      <c r="K12" s="27">
        <v>10000.0</v>
      </c>
      <c r="L12" s="27">
        <v>10000.0</v>
      </c>
      <c r="M12" s="27">
        <v>24000.0</v>
      </c>
      <c r="N12" s="27">
        <v>24195.0</v>
      </c>
      <c r="O12" s="27">
        <v>24195.0</v>
      </c>
      <c r="P12" s="27">
        <v>24195.0</v>
      </c>
      <c r="Q12" s="27">
        <v>24244.0</v>
      </c>
      <c r="R12" s="27">
        <v>24244.0</v>
      </c>
      <c r="S12" s="27">
        <v>24244.0</v>
      </c>
      <c r="T12" s="27">
        <v>24286.0</v>
      </c>
      <c r="U12" s="32">
        <f t="shared" si="1"/>
        <v>0.001732387395</v>
      </c>
      <c r="V12" s="32">
        <f t="shared" si="2"/>
        <v>1.4195</v>
      </c>
      <c r="W12" s="32">
        <f t="shared" si="3"/>
        <v>1.4286</v>
      </c>
    </row>
    <row r="13">
      <c r="A13" s="24" t="s">
        <v>60</v>
      </c>
      <c r="B13" s="25"/>
      <c r="C13" s="25"/>
      <c r="D13" s="25"/>
      <c r="E13" s="25"/>
      <c r="F13" s="25"/>
      <c r="G13" s="27"/>
      <c r="H13" s="27"/>
      <c r="I13" s="28"/>
      <c r="J13" s="28"/>
      <c r="K13" s="27"/>
      <c r="L13" s="27"/>
      <c r="M13" s="27"/>
      <c r="N13" s="27"/>
      <c r="O13" s="27"/>
      <c r="P13" s="27"/>
      <c r="Q13" s="27"/>
      <c r="R13" s="27"/>
      <c r="S13" s="27"/>
      <c r="T13" s="27">
        <v>5000.0</v>
      </c>
      <c r="U13" s="32" t="str">
        <f t="shared" si="1"/>
        <v>#DIV/0!</v>
      </c>
      <c r="V13" s="32" t="str">
        <f t="shared" si="2"/>
        <v>#DIV/0!</v>
      </c>
      <c r="W13" s="32" t="str">
        <f t="shared" si="3"/>
        <v>#DIV/0!</v>
      </c>
    </row>
    <row r="14">
      <c r="A14" s="60" t="s">
        <v>61</v>
      </c>
      <c r="B14" s="61">
        <f t="shared" ref="B14:Q14" si="5">SUM(B6:B12)</f>
        <v>318903.3731</v>
      </c>
      <c r="C14" s="47">
        <f t="shared" si="5"/>
        <v>274897.625</v>
      </c>
      <c r="D14" s="47">
        <f t="shared" si="5"/>
        <v>275343.8248</v>
      </c>
      <c r="E14" s="47">
        <f t="shared" si="5"/>
        <v>142085.455</v>
      </c>
      <c r="F14" s="47">
        <f t="shared" si="5"/>
        <v>138374.4045</v>
      </c>
      <c r="G14" s="47">
        <f t="shared" si="5"/>
        <v>216841</v>
      </c>
      <c r="H14" s="47">
        <f t="shared" si="5"/>
        <v>264485.4477</v>
      </c>
      <c r="I14" s="47">
        <f t="shared" si="5"/>
        <v>197000</v>
      </c>
      <c r="J14" s="47">
        <f t="shared" si="5"/>
        <v>52725.0897</v>
      </c>
      <c r="K14" s="47">
        <f t="shared" si="5"/>
        <v>78504.29996</v>
      </c>
      <c r="L14" s="47">
        <f t="shared" si="5"/>
        <v>81000</v>
      </c>
      <c r="M14" s="47">
        <f t="shared" si="5"/>
        <v>334520.4497</v>
      </c>
      <c r="N14" s="47">
        <f t="shared" si="5"/>
        <v>377195</v>
      </c>
      <c r="O14" s="47">
        <f t="shared" si="5"/>
        <v>379611.2992</v>
      </c>
      <c r="P14" s="47">
        <f t="shared" si="5"/>
        <v>529607.269</v>
      </c>
      <c r="Q14" s="47">
        <f t="shared" si="5"/>
        <v>484025.799</v>
      </c>
      <c r="R14" s="47">
        <v>493180.0</v>
      </c>
      <c r="S14" s="47">
        <f>SUM(S6:S12)</f>
        <v>454969.4986</v>
      </c>
      <c r="T14" s="47">
        <f>sum(T6:T13)</f>
        <v>450774.9487</v>
      </c>
      <c r="U14" s="63">
        <f>(R14-P14)/P14</f>
        <v>-0.06878166365</v>
      </c>
      <c r="V14" s="63">
        <f t="shared" si="2"/>
        <v>5.538361346</v>
      </c>
      <c r="W14" s="63">
        <f t="shared" si="3"/>
        <v>0.4135157757</v>
      </c>
    </row>
    <row r="15">
      <c r="A15" s="17" t="s">
        <v>64</v>
      </c>
      <c r="B15" s="25"/>
      <c r="C15" s="4"/>
      <c r="D15" s="4"/>
      <c r="E15" s="4"/>
      <c r="F15" s="4"/>
      <c r="G15" s="64"/>
      <c r="H15" s="66"/>
      <c r="I15" s="67"/>
      <c r="J15" s="67"/>
      <c r="K15" s="67"/>
      <c r="L15" s="67"/>
      <c r="M15" s="67"/>
      <c r="N15" s="67"/>
      <c r="O15" s="67"/>
      <c r="P15" s="67"/>
      <c r="Q15" s="68"/>
      <c r="R15" s="67"/>
      <c r="S15" s="67"/>
      <c r="T15" s="67"/>
      <c r="U15" s="67"/>
      <c r="V15" s="67"/>
      <c r="W15" s="67"/>
    </row>
    <row r="16">
      <c r="A16" s="24" t="s">
        <v>66</v>
      </c>
      <c r="B16" s="25">
        <f>120000*B1</f>
        <v>170957.9976</v>
      </c>
      <c r="C16" s="25">
        <f>128000*B1</f>
        <v>182355.1974</v>
      </c>
      <c r="D16" s="25">
        <f>129000*B1</f>
        <v>183779.8474</v>
      </c>
      <c r="E16" s="25">
        <f>139000*B1</f>
        <v>198026.3472</v>
      </c>
      <c r="F16" s="25">
        <f>132000*B1</f>
        <v>188053.7974</v>
      </c>
      <c r="G16" s="27">
        <f>141935*B1</f>
        <v>202207.6949</v>
      </c>
      <c r="H16" s="66">
        <f>(142126*B1)*0.7</f>
        <v>141735.8621</v>
      </c>
      <c r="I16" s="66">
        <f>(172000*B1)*0.7</f>
        <v>171527.8576</v>
      </c>
      <c r="J16" s="27">
        <v>170000.0</v>
      </c>
      <c r="K16" s="27">
        <f>(192992*B1)</f>
        <v>274946.0489</v>
      </c>
      <c r="L16" s="27">
        <f>196246*B1</f>
        <v>279581.86</v>
      </c>
      <c r="M16" s="27">
        <f>(200000*B1)</f>
        <v>284929.996</v>
      </c>
      <c r="N16" s="27">
        <f>(211000*B1)</f>
        <v>300601.1458</v>
      </c>
      <c r="O16" s="27">
        <f>(219000*B1)</f>
        <v>311998.3456</v>
      </c>
      <c r="P16" s="27">
        <f>249000*B1</f>
        <v>354737.845</v>
      </c>
      <c r="Q16" s="27">
        <f>257000*B1</f>
        <v>366135.0449</v>
      </c>
      <c r="R16" s="27">
        <f>271000*1.39</f>
        <v>376690</v>
      </c>
      <c r="S16" s="27">
        <f>278600*1.39</f>
        <v>387254</v>
      </c>
      <c r="T16" s="27">
        <f>287827*B1</f>
        <v>410052.7298</v>
      </c>
      <c r="U16" s="79">
        <f t="shared" ref="U16:U24" si="6">(T16-Q16)/Q16</f>
        <v>0.1199494163</v>
      </c>
      <c r="V16" s="79">
        <f t="shared" ref="V16:V22" si="7">(P16-L16)/L16</f>
        <v>0.2688156701</v>
      </c>
      <c r="W16" s="79">
        <f t="shared" ref="W16:W24" si="8">(T16-B16)/B16</f>
        <v>1.398558333</v>
      </c>
    </row>
    <row r="17">
      <c r="A17" s="24" t="s">
        <v>69</v>
      </c>
      <c r="B17" s="25">
        <v>23000.0</v>
      </c>
      <c r="C17" s="25">
        <v>23370.0</v>
      </c>
      <c r="D17" s="25">
        <v>22964.0</v>
      </c>
      <c r="E17" s="25">
        <v>24692.0</v>
      </c>
      <c r="F17" s="25">
        <v>24654.0</v>
      </c>
      <c r="G17" s="27">
        <v>25906.0</v>
      </c>
      <c r="H17" s="27">
        <v>26832.0</v>
      </c>
      <c r="I17" s="28">
        <v>28462.0</v>
      </c>
      <c r="J17" s="27">
        <v>29626.0</v>
      </c>
      <c r="K17" s="27">
        <v>32000.0</v>
      </c>
      <c r="L17" s="27">
        <v>32313.0</v>
      </c>
      <c r="M17" s="27">
        <f>32313</f>
        <v>32313</v>
      </c>
      <c r="N17" s="27">
        <f>35000</f>
        <v>35000</v>
      </c>
      <c r="O17" s="27">
        <v>37486.32</v>
      </c>
      <c r="P17" s="27">
        <v>36765.0</v>
      </c>
      <c r="Q17" s="27">
        <v>34451.0</v>
      </c>
      <c r="R17" s="27">
        <v>36000.0</v>
      </c>
      <c r="S17" s="27">
        <v>37000.0</v>
      </c>
      <c r="T17" s="27">
        <v>39000.0</v>
      </c>
      <c r="U17" s="79">
        <f t="shared" si="6"/>
        <v>0.1320426112</v>
      </c>
      <c r="V17" s="79">
        <f t="shared" si="7"/>
        <v>0.1377773651</v>
      </c>
      <c r="W17" s="79">
        <f t="shared" si="8"/>
        <v>0.6956521739</v>
      </c>
    </row>
    <row r="18">
      <c r="A18" s="24" t="s">
        <v>70</v>
      </c>
      <c r="B18" s="25">
        <v>94684.0</v>
      </c>
      <c r="C18" s="25">
        <v>99922.0</v>
      </c>
      <c r="D18" s="25">
        <v>96597.0</v>
      </c>
      <c r="E18" s="25">
        <v>96280.0</v>
      </c>
      <c r="F18" s="25"/>
      <c r="G18" s="27">
        <v>101995.0</v>
      </c>
      <c r="H18" s="27">
        <v>103948.0</v>
      </c>
      <c r="I18" s="28">
        <v>105878.0</v>
      </c>
      <c r="J18" s="27">
        <v>115475.0</v>
      </c>
      <c r="K18" s="27">
        <v>127000.0</v>
      </c>
      <c r="L18" s="27">
        <v>125410.0</v>
      </c>
      <c r="M18" s="27">
        <v>125410.0</v>
      </c>
      <c r="N18" s="27">
        <v>115300.0</v>
      </c>
      <c r="O18" s="27">
        <v>118457.0</v>
      </c>
      <c r="P18" s="27">
        <v>110048.0</v>
      </c>
      <c r="Q18" s="27">
        <v>117991.0</v>
      </c>
      <c r="R18" s="27">
        <v>110793.0</v>
      </c>
      <c r="S18" s="27">
        <v>119573.0</v>
      </c>
      <c r="T18" s="27">
        <v>119926.0</v>
      </c>
      <c r="U18" s="79">
        <f t="shared" si="6"/>
        <v>0.0163995559</v>
      </c>
      <c r="V18" s="79">
        <f t="shared" si="7"/>
        <v>-0.122494219</v>
      </c>
      <c r="W18" s="79">
        <f t="shared" si="8"/>
        <v>0.2665920324</v>
      </c>
    </row>
    <row r="19">
      <c r="A19" s="24" t="s">
        <v>71</v>
      </c>
      <c r="B19" s="25">
        <v>143279.0</v>
      </c>
      <c r="C19" s="25">
        <v>156163.0</v>
      </c>
      <c r="D19" s="25">
        <v>162323.0</v>
      </c>
      <c r="E19" s="25">
        <f>218343</f>
        <v>218343</v>
      </c>
      <c r="F19" s="25"/>
      <c r="G19" s="27">
        <v>235931.0</v>
      </c>
      <c r="H19" s="27">
        <v>237748.0</v>
      </c>
      <c r="I19" s="28">
        <v>251877.0</v>
      </c>
      <c r="J19" s="27">
        <v>275066.0</v>
      </c>
      <c r="K19" s="27">
        <v>280000.0</v>
      </c>
      <c r="L19" s="27">
        <f>282301</f>
        <v>282301</v>
      </c>
      <c r="M19" s="27">
        <f>282301</f>
        <v>282301</v>
      </c>
      <c r="N19" s="27">
        <v>291000.0</v>
      </c>
      <c r="O19" s="27">
        <v>297502.0</v>
      </c>
      <c r="P19" s="27">
        <v>321208.0</v>
      </c>
      <c r="Q19" s="27">
        <v>331999.0</v>
      </c>
      <c r="R19" s="27">
        <v>363590.0</v>
      </c>
      <c r="S19" s="27">
        <v>375872.0</v>
      </c>
      <c r="T19" s="27">
        <v>383108.0</v>
      </c>
      <c r="U19" s="79">
        <f t="shared" si="6"/>
        <v>0.1539432348</v>
      </c>
      <c r="V19" s="79">
        <f t="shared" si="7"/>
        <v>0.1378209783</v>
      </c>
      <c r="W19" s="79">
        <f t="shared" si="8"/>
        <v>1.673860091</v>
      </c>
    </row>
    <row r="20">
      <c r="A20" s="56" t="s">
        <v>72</v>
      </c>
      <c r="B20" s="25">
        <v>95125.0</v>
      </c>
      <c r="C20" s="25">
        <v>99219.0</v>
      </c>
      <c r="D20" s="25">
        <v>94216.0</v>
      </c>
      <c r="E20" s="25">
        <v>103130.0</v>
      </c>
      <c r="F20" s="25"/>
      <c r="G20" s="27">
        <v>109081.0</v>
      </c>
      <c r="H20" s="27">
        <v>112359.0</v>
      </c>
      <c r="I20" s="28">
        <v>119264.0</v>
      </c>
      <c r="J20" s="27">
        <v>127805.0</v>
      </c>
      <c r="K20" s="27">
        <v>134000.0</v>
      </c>
      <c r="L20" s="27">
        <v>137803.0</v>
      </c>
      <c r="M20" s="27">
        <f>137803</f>
        <v>137803</v>
      </c>
      <c r="N20" s="27">
        <v>138650.0</v>
      </c>
      <c r="O20" s="27">
        <v>137748.0</v>
      </c>
      <c r="P20" s="27">
        <v>141822.0</v>
      </c>
      <c r="Q20" s="27">
        <v>140942.0</v>
      </c>
      <c r="R20" s="27">
        <v>143819.0</v>
      </c>
      <c r="S20" s="27">
        <v>150866.0</v>
      </c>
      <c r="T20" s="27">
        <v>154949.0</v>
      </c>
      <c r="U20" s="79">
        <f t="shared" si="6"/>
        <v>0.09938130579</v>
      </c>
      <c r="V20" s="79">
        <f t="shared" si="7"/>
        <v>0.02916482225</v>
      </c>
      <c r="W20" s="79">
        <f t="shared" si="8"/>
        <v>0.6288988173</v>
      </c>
    </row>
    <row r="21">
      <c r="A21" s="56" t="s">
        <v>73</v>
      </c>
      <c r="B21" s="25">
        <v>56769.0</v>
      </c>
      <c r="C21" s="25">
        <v>59228.0</v>
      </c>
      <c r="D21" s="25">
        <v>56260.0</v>
      </c>
      <c r="E21" s="25">
        <v>61845.0</v>
      </c>
      <c r="F21" s="25"/>
      <c r="G21" s="27">
        <v>65416.0</v>
      </c>
      <c r="H21" s="27">
        <v>67242.0</v>
      </c>
      <c r="I21" s="28">
        <v>71239.0</v>
      </c>
      <c r="J21" s="27">
        <v>76453.0</v>
      </c>
      <c r="K21" s="27">
        <v>80000.0</v>
      </c>
      <c r="L21" s="27">
        <v>82211.0</v>
      </c>
      <c r="M21" s="27">
        <v>82211.0</v>
      </c>
      <c r="N21" s="27">
        <v>82699.0</v>
      </c>
      <c r="O21" s="27">
        <v>82020.0</v>
      </c>
      <c r="P21" s="27">
        <v>84284.0</v>
      </c>
      <c r="Q21" s="27">
        <v>83742.0</v>
      </c>
      <c r="R21" s="27">
        <v>85597.0</v>
      </c>
      <c r="S21" s="27">
        <v>89727.0</v>
      </c>
      <c r="T21" s="27">
        <v>92067.0</v>
      </c>
      <c r="U21" s="79">
        <f t="shared" si="6"/>
        <v>0.09941248119</v>
      </c>
      <c r="V21" s="79">
        <f t="shared" si="7"/>
        <v>0.02521560375</v>
      </c>
      <c r="W21" s="79">
        <f t="shared" si="8"/>
        <v>0.6217830154</v>
      </c>
    </row>
    <row r="22">
      <c r="A22" s="81" t="s">
        <v>74</v>
      </c>
      <c r="B22" s="82">
        <f>75000*B1</f>
        <v>106848.7485</v>
      </c>
      <c r="C22" s="82">
        <v>101000.0</v>
      </c>
      <c r="D22" s="82">
        <f>77000*B1</f>
        <v>109698.0485</v>
      </c>
      <c r="E22" s="25">
        <f>90000*B1</f>
        <v>128218.4982</v>
      </c>
      <c r="F22" s="25">
        <f>92000*B1</f>
        <v>131067.7982</v>
      </c>
      <c r="G22" s="27">
        <v>130000.0</v>
      </c>
      <c r="H22" s="27">
        <f>(114000*B1)*0.7</f>
        <v>113687.0684</v>
      </c>
      <c r="I22" s="27">
        <f>120000</f>
        <v>120000</v>
      </c>
      <c r="J22" s="27">
        <f>(143000*B1)*0.7</f>
        <v>142607.463</v>
      </c>
      <c r="K22" s="27">
        <f>(170000*B1)</f>
        <v>242190.4966</v>
      </c>
      <c r="L22" s="66">
        <f>197000*B1</f>
        <v>280656.0461</v>
      </c>
      <c r="M22" s="66">
        <f>(197000*B1)</f>
        <v>280656.0461</v>
      </c>
      <c r="N22" s="66">
        <f>(197000*B1)</f>
        <v>280656.0461</v>
      </c>
      <c r="O22" s="66">
        <f>(197000*B1)</f>
        <v>280656.0461</v>
      </c>
      <c r="P22" s="27">
        <f>208889*B1</f>
        <v>297593.7097</v>
      </c>
      <c r="Q22" s="27">
        <f>210000*1.39</f>
        <v>291900</v>
      </c>
      <c r="R22" s="27">
        <f>238000*B1</f>
        <v>339066.6952</v>
      </c>
      <c r="S22" s="27">
        <f>220000*B1</f>
        <v>313422.9956</v>
      </c>
      <c r="T22" s="27">
        <f>257000*B1</f>
        <v>366135.0449</v>
      </c>
      <c r="U22" s="79">
        <f t="shared" si="6"/>
        <v>0.2543167004</v>
      </c>
      <c r="V22" s="79">
        <f t="shared" si="7"/>
        <v>0.06035025381</v>
      </c>
      <c r="W22" s="79">
        <f t="shared" si="8"/>
        <v>2.426666667</v>
      </c>
    </row>
    <row r="23">
      <c r="A23" s="81" t="s">
        <v>75</v>
      </c>
      <c r="B23" s="82"/>
      <c r="C23" s="82"/>
      <c r="D23" s="82"/>
      <c r="E23" s="25"/>
      <c r="F23" s="25"/>
      <c r="G23" s="27"/>
      <c r="H23" s="27"/>
      <c r="I23" s="27"/>
      <c r="J23" s="27"/>
      <c r="K23" s="27">
        <v>8000.0</v>
      </c>
      <c r="L23" s="27">
        <v>9000.0</v>
      </c>
      <c r="M23" s="27">
        <v>12000.0</v>
      </c>
      <c r="N23" s="27">
        <v>20000.0</v>
      </c>
      <c r="O23" s="27">
        <v>45785.0</v>
      </c>
      <c r="P23" s="27">
        <v>59000.0</v>
      </c>
      <c r="Q23" s="27">
        <v>64824.0</v>
      </c>
      <c r="R23" s="27">
        <v>80792.0</v>
      </c>
      <c r="S23" s="27">
        <v>86441.0</v>
      </c>
      <c r="T23" s="27">
        <v>91500.0</v>
      </c>
      <c r="U23" s="79">
        <f t="shared" si="6"/>
        <v>0.411514254</v>
      </c>
      <c r="V23" s="79">
        <f>(N23-L23)/L23</f>
        <v>1.222222222</v>
      </c>
      <c r="W23" s="79" t="str">
        <f t="shared" si="8"/>
        <v>#DIV/0!</v>
      </c>
    </row>
    <row r="24">
      <c r="A24" s="83" t="s">
        <v>76</v>
      </c>
      <c r="B24" s="84">
        <f t="shared" ref="B24:I24" si="9">SUM(B16:B22)</f>
        <v>690663.7461</v>
      </c>
      <c r="C24" s="84">
        <f t="shared" si="9"/>
        <v>721257.1974</v>
      </c>
      <c r="D24" s="84">
        <f t="shared" si="9"/>
        <v>725837.8959</v>
      </c>
      <c r="E24" s="84">
        <f t="shared" si="9"/>
        <v>830534.8454</v>
      </c>
      <c r="F24" s="84">
        <f t="shared" si="9"/>
        <v>343775.5955</v>
      </c>
      <c r="G24" s="85">
        <f t="shared" si="9"/>
        <v>870536.6949</v>
      </c>
      <c r="H24" s="85">
        <f t="shared" si="9"/>
        <v>803551.9305</v>
      </c>
      <c r="I24" s="85">
        <f t="shared" si="9"/>
        <v>868247.8576</v>
      </c>
      <c r="J24" s="85">
        <f>SUM(J18:J22)</f>
        <v>737406.463</v>
      </c>
      <c r="K24" s="85">
        <f>SUM(K16:K23)</f>
        <v>1178136.546</v>
      </c>
      <c r="L24" s="47">
        <f t="shared" ref="L24:N24" si="10">Sum(L16:L23)</f>
        <v>1229275.906</v>
      </c>
      <c r="M24" s="47">
        <f t="shared" si="10"/>
        <v>1237624.042</v>
      </c>
      <c r="N24" s="47">
        <f t="shared" si="10"/>
        <v>1263906.192</v>
      </c>
      <c r="O24" s="47">
        <f t="shared" ref="O24:Q24" si="11">SUM(O16:O23)</f>
        <v>1311652.712</v>
      </c>
      <c r="P24" s="47">
        <f t="shared" si="11"/>
        <v>1405458.555</v>
      </c>
      <c r="Q24" s="47">
        <f t="shared" si="11"/>
        <v>1431984.045</v>
      </c>
      <c r="R24" s="47">
        <v>1512944.0</v>
      </c>
      <c r="S24" s="47">
        <f>SUM(S16:S23)</f>
        <v>1560155.996</v>
      </c>
      <c r="T24" s="84">
        <f>sum(T16:T23)</f>
        <v>1656737.775</v>
      </c>
      <c r="U24" s="86">
        <f t="shared" si="6"/>
        <v>0.1569526774</v>
      </c>
      <c r="V24" s="86">
        <f>(P24-L24)/L24</f>
        <v>0.1433222988</v>
      </c>
      <c r="W24" s="86">
        <f t="shared" si="8"/>
        <v>1.398761748</v>
      </c>
    </row>
    <row r="25">
      <c r="A25" s="17" t="s">
        <v>77</v>
      </c>
      <c r="B25" s="25"/>
      <c r="C25" s="25"/>
      <c r="D25" s="25"/>
      <c r="E25" s="4"/>
      <c r="F25" s="4"/>
      <c r="G25" s="64"/>
      <c r="H25" s="66"/>
      <c r="I25" s="67"/>
      <c r="K25" s="8"/>
      <c r="L25" s="8"/>
      <c r="M25" s="8"/>
      <c r="N25" s="8"/>
      <c r="O25" s="8"/>
      <c r="P25" s="8"/>
      <c r="Q25" s="87"/>
      <c r="R25" s="8"/>
      <c r="S25" s="8"/>
      <c r="T25" s="8"/>
      <c r="U25" s="8"/>
      <c r="V25" s="8"/>
      <c r="W25" s="8"/>
    </row>
    <row r="26">
      <c r="A26" s="24" t="s">
        <v>78</v>
      </c>
      <c r="B26" s="25">
        <f>160000*B2</f>
        <v>80000</v>
      </c>
      <c r="C26" s="25">
        <f>167770*B2</f>
        <v>83885</v>
      </c>
      <c r="D26" s="25">
        <f>168264*B2</f>
        <v>84132</v>
      </c>
      <c r="E26" s="25">
        <v>127000.0</v>
      </c>
      <c r="F26" s="25">
        <f>245668*B2</f>
        <v>122834</v>
      </c>
      <c r="G26" s="27">
        <f>461429*B2</f>
        <v>230714.5</v>
      </c>
      <c r="H26" s="66">
        <f>457967*B2</f>
        <v>228983.5</v>
      </c>
      <c r="I26" s="66">
        <f>528000*B2</f>
        <v>264000</v>
      </c>
      <c r="J26" s="66">
        <f>611000*B2</f>
        <v>305500</v>
      </c>
      <c r="K26" s="27">
        <f>(418147+275000)*B2</f>
        <v>346573.5</v>
      </c>
      <c r="L26" s="88">
        <f>715000*B2</f>
        <v>357500</v>
      </c>
      <c r="M26" s="88">
        <f>(800000+200000)*B2</f>
        <v>500000</v>
      </c>
      <c r="N26" s="88">
        <f>(800000+200000)*B2</f>
        <v>500000</v>
      </c>
      <c r="O26" s="88">
        <f>(893000+200000)*0.5</f>
        <v>546500</v>
      </c>
      <c r="P26" s="88">
        <f>(1767000)*0.5</f>
        <v>883500</v>
      </c>
      <c r="Q26" s="27">
        <f>1736000*0.5</f>
        <v>868000</v>
      </c>
      <c r="R26" s="27">
        <f>2100000*0.5</f>
        <v>1050000</v>
      </c>
      <c r="S26" s="27">
        <f>2213597*0.5</f>
        <v>1106798.5</v>
      </c>
      <c r="T26" s="27">
        <f>2290629*B2</f>
        <v>1145314.5</v>
      </c>
      <c r="U26" s="32">
        <f t="shared" ref="U26:U28" si="12">(T26-Q26)/Q26</f>
        <v>0.3194867512</v>
      </c>
      <c r="V26" s="32">
        <f>(P26-L26)/L26</f>
        <v>1.471328671</v>
      </c>
      <c r="W26" s="32">
        <f t="shared" ref="W26:W28" si="13">(T26-B26)/B26</f>
        <v>13.31643125</v>
      </c>
    </row>
    <row r="27">
      <c r="A27" s="89" t="s">
        <v>79</v>
      </c>
      <c r="B27" s="90">
        <f>200000*B2</f>
        <v>100000</v>
      </c>
      <c r="C27" s="90">
        <f>200000*B2</f>
        <v>100000</v>
      </c>
      <c r="D27" s="90">
        <f>200000*B2</f>
        <v>100000</v>
      </c>
      <c r="E27" s="90">
        <f>200000*B2</f>
        <v>100000</v>
      </c>
      <c r="F27" s="90">
        <f>200000*B2</f>
        <v>100000</v>
      </c>
      <c r="G27" s="91">
        <f>200000*B2</f>
        <v>100000</v>
      </c>
      <c r="H27" s="91">
        <f>200000*B2</f>
        <v>100000</v>
      </c>
      <c r="I27" s="92">
        <v>100000.0</v>
      </c>
      <c r="J27" s="91">
        <f>200000*B2</f>
        <v>100000</v>
      </c>
      <c r="K27" s="91">
        <f>200000*B2</f>
        <v>100000</v>
      </c>
      <c r="L27" s="93">
        <v>100000.0</v>
      </c>
      <c r="M27" s="93">
        <v>100000.0</v>
      </c>
      <c r="N27" s="93">
        <v>115000.0</v>
      </c>
      <c r="O27" s="93">
        <v>115000.0</v>
      </c>
      <c r="P27" s="93">
        <v>115000.0</v>
      </c>
      <c r="Q27" s="27">
        <f>120000</f>
        <v>120000</v>
      </c>
      <c r="R27" s="27">
        <v>120000.0</v>
      </c>
      <c r="S27" s="27">
        <v>180000.0</v>
      </c>
      <c r="T27" s="27">
        <f>180000</f>
        <v>180000</v>
      </c>
      <c r="U27" s="32">
        <f t="shared" si="12"/>
        <v>0.5</v>
      </c>
      <c r="V27" s="94">
        <f>(N27-L27)/L27</f>
        <v>0.15</v>
      </c>
      <c r="W27" s="32">
        <f t="shared" si="13"/>
        <v>0.8</v>
      </c>
    </row>
    <row r="28">
      <c r="A28" s="95" t="s">
        <v>80</v>
      </c>
      <c r="B28" s="96">
        <f t="shared" ref="B28:F28" si="14">SUM(B26:B27)</f>
        <v>180000</v>
      </c>
      <c r="C28" s="96">
        <f t="shared" si="14"/>
        <v>183885</v>
      </c>
      <c r="D28" s="96">
        <f t="shared" si="14"/>
        <v>184132</v>
      </c>
      <c r="E28" s="96">
        <f t="shared" si="14"/>
        <v>227000</v>
      </c>
      <c r="F28" s="96">
        <f t="shared" si="14"/>
        <v>222834</v>
      </c>
      <c r="G28" s="97">
        <f t="shared" ref="G28:I28" si="15">sum(G26:G27)</f>
        <v>330714.5</v>
      </c>
      <c r="H28" s="97">
        <f t="shared" si="15"/>
        <v>328983.5</v>
      </c>
      <c r="I28" s="97">
        <f t="shared" si="15"/>
        <v>364000</v>
      </c>
      <c r="J28" s="97">
        <f t="shared" ref="J28:K28" si="16">SUM(J26:J27)</f>
        <v>405500</v>
      </c>
      <c r="K28" s="97">
        <f t="shared" si="16"/>
        <v>446573.5</v>
      </c>
      <c r="L28" s="98">
        <f t="shared" ref="L28:N28" si="17">Sum(L26:L27)</f>
        <v>457500</v>
      </c>
      <c r="M28" s="98">
        <f t="shared" si="17"/>
        <v>600000</v>
      </c>
      <c r="N28" s="98">
        <f t="shared" si="17"/>
        <v>615000</v>
      </c>
      <c r="O28" s="98">
        <f t="shared" ref="O28:Q28" si="18">SUM(O26:O27)</f>
        <v>661500</v>
      </c>
      <c r="P28" s="98">
        <f t="shared" si="18"/>
        <v>998500</v>
      </c>
      <c r="Q28" s="98">
        <f t="shared" si="18"/>
        <v>988000</v>
      </c>
      <c r="R28" s="98">
        <v>1131500.0</v>
      </c>
      <c r="S28" s="98">
        <f>SUM(S26:S27)</f>
        <v>1286798.5</v>
      </c>
      <c r="T28" s="97">
        <f>sum(T26:T27)</f>
        <v>1325314.5</v>
      </c>
      <c r="U28" s="99">
        <f t="shared" si="12"/>
        <v>0.3414114372</v>
      </c>
      <c r="V28" s="99">
        <f>(P28-L28)/L28</f>
        <v>1.182513661</v>
      </c>
      <c r="W28" s="99">
        <f t="shared" si="13"/>
        <v>6.362858333</v>
      </c>
    </row>
    <row r="29">
      <c r="A29" s="17" t="s">
        <v>81</v>
      </c>
      <c r="B29" s="100"/>
      <c r="C29" s="25"/>
      <c r="D29" s="25"/>
      <c r="E29" s="4"/>
      <c r="F29" s="4"/>
      <c r="G29" s="64"/>
      <c r="H29" s="66"/>
      <c r="I29" s="67"/>
      <c r="J29" s="67"/>
      <c r="K29" s="67"/>
      <c r="L29" s="67"/>
      <c r="M29" s="67"/>
      <c r="N29" s="67"/>
      <c r="O29" s="67"/>
      <c r="P29" s="67"/>
      <c r="Q29" s="68"/>
      <c r="R29" s="101"/>
      <c r="S29" s="67"/>
      <c r="T29" s="67"/>
      <c r="U29" s="67"/>
      <c r="V29" s="67"/>
      <c r="W29" s="67"/>
    </row>
    <row r="30">
      <c r="A30" s="56" t="s">
        <v>82</v>
      </c>
      <c r="B30" s="25">
        <v>800000.0</v>
      </c>
      <c r="C30" s="25">
        <v>800000.0</v>
      </c>
      <c r="D30" s="25">
        <v>800000.0</v>
      </c>
      <c r="E30" s="25">
        <v>850000.0</v>
      </c>
      <c r="F30" s="25">
        <v>850000.0</v>
      </c>
      <c r="G30" s="27">
        <v>900000.0</v>
      </c>
      <c r="H30" s="27">
        <v>900000.0</v>
      </c>
      <c r="I30" s="28">
        <v>900000.0</v>
      </c>
      <c r="J30" s="28">
        <v>900000.0</v>
      </c>
      <c r="K30" s="27">
        <v>900000.0</v>
      </c>
      <c r="L30" s="102">
        <v>900000.0</v>
      </c>
      <c r="M30" s="102">
        <v>900000.0</v>
      </c>
      <c r="N30" s="102">
        <v>900000.0</v>
      </c>
      <c r="O30" s="102">
        <v>900000.0</v>
      </c>
      <c r="P30" s="102">
        <v>800000.0</v>
      </c>
      <c r="Q30" s="27">
        <v>850000.0</v>
      </c>
      <c r="R30" s="27">
        <v>850000.0</v>
      </c>
      <c r="S30" s="27">
        <v>850000.0</v>
      </c>
      <c r="T30" s="27">
        <v>850000.0</v>
      </c>
      <c r="U30" s="32">
        <f t="shared" ref="U30:U35" si="19">(T30-Q30)/Q30</f>
        <v>0</v>
      </c>
      <c r="V30" s="79">
        <f t="shared" ref="V30:V35" si="20">(P30-L30)/L30</f>
        <v>-0.1111111111</v>
      </c>
      <c r="W30" s="79">
        <f t="shared" ref="W30:W35" si="21">(T30-B30)/B30</f>
        <v>0.0625</v>
      </c>
    </row>
    <row r="31">
      <c r="A31" s="56" t="s">
        <v>83</v>
      </c>
      <c r="B31" s="25"/>
      <c r="C31" s="25"/>
      <c r="D31" s="25"/>
      <c r="E31" s="25"/>
      <c r="F31" s="25"/>
      <c r="G31" s="27"/>
      <c r="H31" s="27"/>
      <c r="I31" s="28">
        <v>1350000.0</v>
      </c>
      <c r="J31" s="28">
        <v>1350000.0</v>
      </c>
      <c r="K31" s="27">
        <v>1350000.0</v>
      </c>
      <c r="L31" s="102">
        <v>1350000.0</v>
      </c>
      <c r="M31" s="102">
        <v>1350000.0</v>
      </c>
      <c r="N31" s="102">
        <v>1350000.0</v>
      </c>
      <c r="O31" s="102">
        <v>1350000.0</v>
      </c>
      <c r="P31" s="102">
        <v>1350000.0</v>
      </c>
      <c r="Q31" s="27">
        <v>1350000.0</v>
      </c>
      <c r="R31" s="27">
        <v>1350000.0</v>
      </c>
      <c r="S31" s="27">
        <v>1375000.0</v>
      </c>
      <c r="T31" s="27">
        <v>1375000.0</v>
      </c>
      <c r="U31" s="32">
        <f t="shared" si="19"/>
        <v>0.01851851852</v>
      </c>
      <c r="V31" s="79">
        <f t="shared" si="20"/>
        <v>0</v>
      </c>
      <c r="W31" s="79" t="str">
        <f t="shared" si="21"/>
        <v>#DIV/0!</v>
      </c>
    </row>
    <row r="32">
      <c r="A32" s="20" t="s">
        <v>84</v>
      </c>
      <c r="B32" s="25">
        <v>15000.0</v>
      </c>
      <c r="C32" s="25">
        <v>15000.0</v>
      </c>
      <c r="D32" s="25">
        <v>15000.0</v>
      </c>
      <c r="E32" s="25">
        <v>10000.0</v>
      </c>
      <c r="F32" s="25">
        <v>10000.0</v>
      </c>
      <c r="G32" s="27">
        <v>10000.0</v>
      </c>
      <c r="H32" s="27">
        <v>10000.0</v>
      </c>
      <c r="I32" s="28">
        <v>10000.0</v>
      </c>
      <c r="J32" s="28">
        <v>5000.0</v>
      </c>
      <c r="K32" s="27">
        <v>5000.0</v>
      </c>
      <c r="L32" s="102">
        <v>5000.0</v>
      </c>
      <c r="M32" s="102">
        <v>5000.0</v>
      </c>
      <c r="N32" s="102">
        <v>5000.0</v>
      </c>
      <c r="O32" s="102">
        <v>5000.0</v>
      </c>
      <c r="P32" s="102">
        <v>5000.0</v>
      </c>
      <c r="Q32" s="27">
        <v>5000.0</v>
      </c>
      <c r="R32" s="27">
        <v>5000.0</v>
      </c>
      <c r="S32" s="27">
        <v>5000.0</v>
      </c>
      <c r="T32" s="27">
        <v>5000.0</v>
      </c>
      <c r="U32" s="32">
        <f t="shared" si="19"/>
        <v>0</v>
      </c>
      <c r="V32" s="79">
        <f t="shared" si="20"/>
        <v>0</v>
      </c>
      <c r="W32" s="79">
        <f t="shared" si="21"/>
        <v>-0.6666666667</v>
      </c>
    </row>
    <row r="33">
      <c r="A33" s="20" t="s">
        <v>85</v>
      </c>
      <c r="B33" s="25"/>
      <c r="C33" s="25">
        <v>25000.0</v>
      </c>
      <c r="D33" s="25">
        <v>25000.0</v>
      </c>
      <c r="E33" s="25">
        <v>25000.0</v>
      </c>
      <c r="F33" s="25">
        <v>25000.0</v>
      </c>
      <c r="G33" s="27">
        <v>25000.0</v>
      </c>
      <c r="H33" s="27">
        <v>25000.0</v>
      </c>
      <c r="I33" s="28">
        <v>25000.0</v>
      </c>
      <c r="J33" s="28">
        <v>25000.0</v>
      </c>
      <c r="K33" s="27">
        <v>25000.0</v>
      </c>
      <c r="L33" s="102">
        <v>22000.0</v>
      </c>
      <c r="M33" s="102">
        <v>22000.0</v>
      </c>
      <c r="N33" s="102">
        <v>22000.0</v>
      </c>
      <c r="O33" s="102">
        <v>22000.0</v>
      </c>
      <c r="P33" s="102">
        <v>22000.0</v>
      </c>
      <c r="Q33" s="27">
        <v>18000.0</v>
      </c>
      <c r="R33" s="27">
        <v>18000.0</v>
      </c>
      <c r="S33" s="27">
        <v>18000.0</v>
      </c>
      <c r="T33" s="27">
        <v>18000.0</v>
      </c>
      <c r="U33" s="32">
        <f t="shared" si="19"/>
        <v>0</v>
      </c>
      <c r="V33" s="79">
        <f t="shared" si="20"/>
        <v>0</v>
      </c>
      <c r="W33" s="79" t="str">
        <f t="shared" si="21"/>
        <v>#DIV/0!</v>
      </c>
    </row>
    <row r="34">
      <c r="A34" s="83" t="s">
        <v>86</v>
      </c>
      <c r="B34" s="47">
        <f>SUM(B30:B32)</f>
        <v>815000</v>
      </c>
      <c r="C34" s="47">
        <f t="shared" ref="C34:S34" si="22">SUM(C30:C33)</f>
        <v>840000</v>
      </c>
      <c r="D34" s="47">
        <f t="shared" si="22"/>
        <v>840000</v>
      </c>
      <c r="E34" s="47">
        <f t="shared" si="22"/>
        <v>885000</v>
      </c>
      <c r="F34" s="47">
        <f t="shared" si="22"/>
        <v>885000</v>
      </c>
      <c r="G34" s="103">
        <f t="shared" si="22"/>
        <v>935000</v>
      </c>
      <c r="H34" s="103">
        <f t="shared" si="22"/>
        <v>935000</v>
      </c>
      <c r="I34" s="103">
        <f t="shared" si="22"/>
        <v>2285000</v>
      </c>
      <c r="J34" s="103">
        <f t="shared" si="22"/>
        <v>2280000</v>
      </c>
      <c r="K34" s="103">
        <f t="shared" si="22"/>
        <v>2280000</v>
      </c>
      <c r="L34" s="104">
        <f t="shared" si="22"/>
        <v>2277000</v>
      </c>
      <c r="M34" s="104">
        <f t="shared" si="22"/>
        <v>2277000</v>
      </c>
      <c r="N34" s="104">
        <f t="shared" si="22"/>
        <v>2277000</v>
      </c>
      <c r="O34" s="104">
        <f t="shared" si="22"/>
        <v>2277000</v>
      </c>
      <c r="P34" s="104">
        <f t="shared" si="22"/>
        <v>2177000</v>
      </c>
      <c r="Q34" s="104">
        <f t="shared" si="22"/>
        <v>2223000</v>
      </c>
      <c r="R34" s="104">
        <f t="shared" si="22"/>
        <v>2223000</v>
      </c>
      <c r="S34" s="104">
        <f t="shared" si="22"/>
        <v>2248000</v>
      </c>
      <c r="T34" s="104">
        <f>sum(T30:T33)</f>
        <v>2248000</v>
      </c>
      <c r="U34" s="105">
        <f t="shared" si="19"/>
        <v>0.01124606388</v>
      </c>
      <c r="V34" s="105">
        <f t="shared" si="20"/>
        <v>-0.04391743522</v>
      </c>
      <c r="W34" s="105">
        <f t="shared" si="21"/>
        <v>1.758282209</v>
      </c>
    </row>
    <row r="35">
      <c r="A35" s="95" t="s">
        <v>87</v>
      </c>
      <c r="B35" s="106">
        <f t="shared" ref="B35:C35" si="23">SUM(B14,B24,B28,B34)</f>
        <v>2004567.119</v>
      </c>
      <c r="C35" s="106">
        <f t="shared" si="23"/>
        <v>2020039.822</v>
      </c>
      <c r="D35" s="106">
        <f t="shared" ref="D35:G35" si="24">sum(D24,D28,D14,D34)</f>
        <v>2025313.721</v>
      </c>
      <c r="E35" s="106">
        <f t="shared" si="24"/>
        <v>2084620.3</v>
      </c>
      <c r="F35" s="106">
        <f t="shared" si="24"/>
        <v>1589984</v>
      </c>
      <c r="G35" s="106">
        <f t="shared" si="24"/>
        <v>2353092.195</v>
      </c>
      <c r="H35" s="106">
        <f t="shared" ref="H35:T35" si="25">SUM(H14,H24,H28,H34)</f>
        <v>2332020.878</v>
      </c>
      <c r="I35" s="106">
        <f t="shared" si="25"/>
        <v>3714247.858</v>
      </c>
      <c r="J35" s="106">
        <f t="shared" si="25"/>
        <v>3475631.553</v>
      </c>
      <c r="K35" s="106">
        <f t="shared" si="25"/>
        <v>3983214.346</v>
      </c>
      <c r="L35" s="107">
        <f t="shared" si="25"/>
        <v>4044775.906</v>
      </c>
      <c r="M35" s="106">
        <f t="shared" si="25"/>
        <v>4449144.492</v>
      </c>
      <c r="N35" s="108">
        <f t="shared" si="25"/>
        <v>4533101.192</v>
      </c>
      <c r="O35" s="108">
        <f t="shared" si="25"/>
        <v>4629764.011</v>
      </c>
      <c r="P35" s="108">
        <f t="shared" si="25"/>
        <v>5110565.824</v>
      </c>
      <c r="Q35" s="104">
        <f t="shared" si="25"/>
        <v>5127009.844</v>
      </c>
      <c r="R35" s="104">
        <f t="shared" si="25"/>
        <v>5360624</v>
      </c>
      <c r="S35" s="104">
        <f t="shared" si="25"/>
        <v>5549923.994</v>
      </c>
      <c r="T35" s="103">
        <f t="shared" si="25"/>
        <v>5680827.223</v>
      </c>
      <c r="U35" s="105">
        <f t="shared" si="19"/>
        <v>0.1080195663</v>
      </c>
      <c r="V35" s="105">
        <f t="shared" si="20"/>
        <v>0.2634978902</v>
      </c>
      <c r="W35" s="105">
        <f t="shared" si="21"/>
        <v>1.833942136</v>
      </c>
    </row>
    <row r="36">
      <c r="A36" s="6"/>
      <c r="B36" s="8"/>
      <c r="C36" s="4"/>
      <c r="D36" s="4"/>
      <c r="E36" s="4"/>
      <c r="F36" s="4"/>
      <c r="G36" s="64"/>
      <c r="H36" s="109"/>
      <c r="I36" s="64"/>
      <c r="J36" s="64"/>
      <c r="K36" s="110"/>
      <c r="L36" s="110"/>
      <c r="M36" s="110"/>
      <c r="N36" s="110"/>
      <c r="O36" s="110"/>
      <c r="P36" s="110"/>
      <c r="Q36" s="111"/>
      <c r="R36" s="110"/>
      <c r="S36" s="110"/>
      <c r="T36" s="110"/>
      <c r="U36" s="110"/>
      <c r="V36" s="110"/>
      <c r="W36" s="110"/>
    </row>
    <row r="37">
      <c r="A37" s="112" t="s">
        <v>88</v>
      </c>
      <c r="B37" s="113"/>
      <c r="C37" s="43"/>
      <c r="D37" s="43"/>
      <c r="E37" s="43"/>
      <c r="F37" s="43"/>
      <c r="G37" s="114"/>
      <c r="H37" s="115"/>
      <c r="I37" s="114"/>
      <c r="J37" s="114"/>
      <c r="K37" s="116"/>
      <c r="L37" s="116"/>
      <c r="M37" s="116"/>
      <c r="N37" s="116"/>
      <c r="O37" s="116"/>
      <c r="P37" s="116"/>
      <c r="Q37" s="117"/>
      <c r="R37" s="116"/>
      <c r="S37" s="116"/>
      <c r="T37" s="116"/>
      <c r="U37" s="116"/>
      <c r="V37" s="116"/>
      <c r="W37" s="116"/>
    </row>
    <row r="38">
      <c r="A38" s="118" t="s">
        <v>89</v>
      </c>
      <c r="B38" s="90">
        <v>265000.0</v>
      </c>
      <c r="C38" s="90">
        <v>264273.0</v>
      </c>
      <c r="D38" s="90">
        <v>263785.48</v>
      </c>
      <c r="E38" s="90">
        <v>258391.0</v>
      </c>
      <c r="F38" s="90">
        <v>255000.0</v>
      </c>
      <c r="G38" s="91">
        <v>252000.0</v>
      </c>
      <c r="H38" s="91">
        <v>251000.0</v>
      </c>
      <c r="I38" s="92">
        <v>246900.0</v>
      </c>
      <c r="J38" s="119">
        <v>245000.0</v>
      </c>
      <c r="K38" s="119">
        <v>239000.0</v>
      </c>
      <c r="L38" s="90">
        <v>238402.0</v>
      </c>
      <c r="M38" s="90">
        <v>238402.0</v>
      </c>
      <c r="N38" s="90">
        <v>232000.0</v>
      </c>
      <c r="O38" s="90">
        <v>230000.0</v>
      </c>
      <c r="P38" s="90">
        <v>584000.0</v>
      </c>
      <c r="Q38" s="90">
        <v>580000.0</v>
      </c>
      <c r="R38" s="90">
        <v>574000.0</v>
      </c>
      <c r="S38" s="90">
        <v>573000.0</v>
      </c>
      <c r="T38" s="90">
        <v>570546.0</v>
      </c>
      <c r="U38" s="120">
        <f t="shared" ref="U38:U39" si="26">(T38-Q38)/Q38</f>
        <v>-0.0163</v>
      </c>
      <c r="V38" s="120">
        <f t="shared" ref="V38:V39" si="27">(P38-L38)/L38</f>
        <v>1.449643879</v>
      </c>
      <c r="W38" s="120">
        <f>(T38-B38)/B38</f>
        <v>1.153003774</v>
      </c>
    </row>
    <row r="39">
      <c r="A39" s="118" t="s">
        <v>90</v>
      </c>
      <c r="B39" s="119"/>
      <c r="C39" s="119"/>
      <c r="D39" s="119"/>
      <c r="E39" s="119"/>
      <c r="F39" s="119"/>
      <c r="G39" s="119"/>
      <c r="H39" s="119"/>
      <c r="I39" s="119">
        <v>1080000.0</v>
      </c>
      <c r="J39" s="119">
        <v>1077842.0</v>
      </c>
      <c r="K39" s="119">
        <v>1077842.0</v>
      </c>
      <c r="L39" s="121">
        <v>1074000.0</v>
      </c>
      <c r="M39" s="121">
        <v>1074000.0</v>
      </c>
      <c r="N39" s="121">
        <v>1071000.0</v>
      </c>
      <c r="O39" s="121">
        <v>1070000.0</v>
      </c>
      <c r="P39" s="90">
        <v>587000.0</v>
      </c>
      <c r="Q39" s="90">
        <v>584000.0</v>
      </c>
      <c r="R39" s="90">
        <v>583000.0</v>
      </c>
      <c r="S39" s="90">
        <v>582000.0</v>
      </c>
      <c r="T39" s="90">
        <v>581167.0</v>
      </c>
      <c r="U39" s="120">
        <f t="shared" si="26"/>
        <v>-0.004851027397</v>
      </c>
      <c r="V39" s="120">
        <f t="shared" si="27"/>
        <v>-0.4534450652</v>
      </c>
      <c r="W39" s="120">
        <f>(T39-I39)/I39</f>
        <v>-0.4618824074</v>
      </c>
    </row>
    <row r="40">
      <c r="A40" s="118" t="s">
        <v>91</v>
      </c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22"/>
      <c r="M40" s="122"/>
      <c r="N40" s="122"/>
      <c r="O40" s="122"/>
      <c r="P40" s="122"/>
      <c r="Q40" s="123"/>
      <c r="R40" s="122"/>
      <c r="S40" s="122"/>
      <c r="T40" s="122"/>
      <c r="U40" s="122"/>
      <c r="V40" s="122"/>
      <c r="W40" s="122"/>
    </row>
    <row r="41">
      <c r="A41" s="124" t="s">
        <v>92</v>
      </c>
      <c r="B41" s="125">
        <f t="shared" ref="B41:C41" si="28">SUM(B38)</f>
        <v>265000</v>
      </c>
      <c r="C41" s="125">
        <f t="shared" si="28"/>
        <v>264273</v>
      </c>
      <c r="D41" s="125">
        <f t="shared" ref="D41:G41" si="29">sum(D38)</f>
        <v>263785.48</v>
      </c>
      <c r="E41" s="125">
        <f t="shared" si="29"/>
        <v>258391</v>
      </c>
      <c r="F41" s="125">
        <f t="shared" si="29"/>
        <v>255000</v>
      </c>
      <c r="G41" s="126">
        <f t="shared" si="29"/>
        <v>252000</v>
      </c>
      <c r="H41" s="126">
        <f t="shared" ref="H41:J41" si="30">sum(H38:H39)</f>
        <v>251000</v>
      </c>
      <c r="I41" s="126">
        <f t="shared" si="30"/>
        <v>1326900</v>
      </c>
      <c r="J41" s="126">
        <f t="shared" si="30"/>
        <v>1322842</v>
      </c>
      <c r="K41" s="126">
        <f t="shared" ref="K41:S41" si="31">SUM(K38:K40)</f>
        <v>1316842</v>
      </c>
      <c r="L41" s="126">
        <f t="shared" si="31"/>
        <v>1312402</v>
      </c>
      <c r="M41" s="126">
        <f t="shared" si="31"/>
        <v>1312402</v>
      </c>
      <c r="N41" s="126">
        <f t="shared" si="31"/>
        <v>1303000</v>
      </c>
      <c r="O41" s="126">
        <f t="shared" si="31"/>
        <v>1300000</v>
      </c>
      <c r="P41" s="126">
        <f t="shared" si="31"/>
        <v>1171000</v>
      </c>
      <c r="Q41" s="126">
        <f t="shared" si="31"/>
        <v>1164000</v>
      </c>
      <c r="R41" s="126">
        <f t="shared" si="31"/>
        <v>1157000</v>
      </c>
      <c r="S41" s="126">
        <f t="shared" si="31"/>
        <v>1155000</v>
      </c>
      <c r="T41" s="126">
        <f>sum(T38:T39)</f>
        <v>1151713</v>
      </c>
      <c r="U41" s="127">
        <f>(T41-Q41)/Q41</f>
        <v>-0.01055584192</v>
      </c>
      <c r="V41" s="127">
        <f>(P41-L41)/L41</f>
        <v>-0.1077429019</v>
      </c>
      <c r="W41" s="127">
        <f>(T41-B41)/B41</f>
        <v>3.346086792</v>
      </c>
    </row>
    <row r="42">
      <c r="A42" s="6"/>
      <c r="B42" s="8"/>
      <c r="C42" s="4"/>
      <c r="D42" s="4"/>
      <c r="E42" s="4"/>
      <c r="F42" s="4"/>
      <c r="G42" s="64"/>
      <c r="H42" s="109"/>
      <c r="I42" s="64"/>
      <c r="J42" s="64"/>
      <c r="K42" s="110"/>
      <c r="L42" s="110"/>
      <c r="M42" s="110"/>
      <c r="N42" s="110"/>
      <c r="O42" s="110"/>
      <c r="P42" s="110"/>
      <c r="Q42" s="111"/>
      <c r="R42" s="110"/>
      <c r="S42" s="110"/>
      <c r="T42" s="110"/>
      <c r="U42" s="110"/>
      <c r="V42" s="110"/>
      <c r="W42" s="110"/>
    </row>
    <row r="43">
      <c r="A43" s="128" t="s">
        <v>93</v>
      </c>
      <c r="B43" s="129">
        <f t="shared" ref="B43:D43" si="32">B35-B41</f>
        <v>1739567.119</v>
      </c>
      <c r="C43" s="129">
        <f t="shared" si="32"/>
        <v>1755766.822</v>
      </c>
      <c r="D43" s="129">
        <f t="shared" si="32"/>
        <v>1761528.241</v>
      </c>
      <c r="E43" s="129">
        <f t="shared" ref="E43:G43" si="33">sum(E35-E41)</f>
        <v>1826229.3</v>
      </c>
      <c r="F43" s="129">
        <f t="shared" si="33"/>
        <v>1334984</v>
      </c>
      <c r="G43" s="130">
        <f t="shared" si="33"/>
        <v>2101092.195</v>
      </c>
      <c r="H43" s="130">
        <f t="shared" ref="H43:I43" si="34">H35-H41</f>
        <v>2081020.878</v>
      </c>
      <c r="I43" s="130">
        <f t="shared" si="34"/>
        <v>2387347.858</v>
      </c>
      <c r="J43" s="130">
        <f t="shared" ref="J43:T43" si="35">sum(J35-J41)</f>
        <v>2152789.553</v>
      </c>
      <c r="K43" s="130">
        <f t="shared" si="35"/>
        <v>2666372.346</v>
      </c>
      <c r="L43" s="130">
        <f t="shared" si="35"/>
        <v>2732373.906</v>
      </c>
      <c r="M43" s="130">
        <f t="shared" si="35"/>
        <v>3136742.492</v>
      </c>
      <c r="N43" s="130">
        <f t="shared" si="35"/>
        <v>3230101.192</v>
      </c>
      <c r="O43" s="130">
        <f t="shared" si="35"/>
        <v>3329764.011</v>
      </c>
      <c r="P43" s="130">
        <f t="shared" si="35"/>
        <v>3939565.824</v>
      </c>
      <c r="Q43" s="130">
        <f t="shared" si="35"/>
        <v>3963009.844</v>
      </c>
      <c r="R43" s="130">
        <f t="shared" si="35"/>
        <v>4203624</v>
      </c>
      <c r="S43" s="130">
        <f t="shared" si="35"/>
        <v>4394923.994</v>
      </c>
      <c r="T43" s="130">
        <f t="shared" si="35"/>
        <v>4529114.223</v>
      </c>
      <c r="U43" s="131">
        <f>(T43-Q43)/Q43</f>
        <v>0.1428470788</v>
      </c>
      <c r="V43" s="131">
        <f>(P43-L43)/L43</f>
        <v>0.4418106596</v>
      </c>
      <c r="W43" s="131">
        <f>(T43-B43)/B43</f>
        <v>1.603586935</v>
      </c>
    </row>
    <row r="44"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A48" s="17"/>
      <c r="B48" s="24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H51" s="8"/>
      <c r="I51" s="8"/>
      <c r="J51" s="8"/>
      <c r="K51" s="132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  <row r="1013"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</row>
    <row r="1014"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</row>
    <row r="1016"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8"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</row>
    <row r="1019"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  <row r="1022"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</row>
    <row r="1023"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</row>
    <row r="1024"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15.25"/>
    <col customWidth="1" min="4" max="4" width="14.75"/>
    <col customWidth="1" min="5" max="5" width="22.13"/>
    <col customWidth="1" min="6" max="6" width="15.88"/>
    <col customWidth="1" min="7" max="7" width="20.63"/>
    <col customWidth="1" min="8" max="8" width="21.13"/>
    <col customWidth="1" min="9" max="9" width="15.63"/>
    <col customWidth="1" min="10" max="10" width="17.13"/>
    <col customWidth="1" min="11" max="13" width="22.75"/>
    <col customWidth="1" min="14" max="14" width="21.38"/>
  </cols>
  <sheetData>
    <row r="1">
      <c r="A1" s="2" t="s">
        <v>1</v>
      </c>
      <c r="B1" s="3">
        <v>0.05</v>
      </c>
      <c r="C1" s="4"/>
      <c r="D1" s="4"/>
      <c r="E1" s="4"/>
      <c r="F1" s="4"/>
      <c r="G1" s="5"/>
      <c r="H1" s="7"/>
      <c r="I1" s="7" t="s">
        <v>2</v>
      </c>
      <c r="J1" s="7" t="s">
        <v>3</v>
      </c>
      <c r="K1" s="7" t="s">
        <v>4</v>
      </c>
      <c r="L1" s="9"/>
      <c r="M1" s="9"/>
    </row>
    <row r="2">
      <c r="A2" s="2" t="s">
        <v>5</v>
      </c>
      <c r="B2" s="10">
        <v>3000.0</v>
      </c>
      <c r="C2" s="4"/>
      <c r="D2" s="4"/>
      <c r="E2" s="4"/>
      <c r="F2" s="4"/>
      <c r="G2" s="9">
        <v>2033.0</v>
      </c>
      <c r="H2" s="4"/>
      <c r="I2" s="12">
        <f t="shared" ref="I2:I3" si="1">J2/12</f>
        <v>23408.92639</v>
      </c>
      <c r="J2" s="10">
        <f>E22*0.05</f>
        <v>280907.1167</v>
      </c>
      <c r="K2" s="12">
        <f t="shared" ref="K2:K3" si="2">I2*0.5</f>
        <v>11704.4632</v>
      </c>
      <c r="L2" s="4"/>
      <c r="M2" s="4"/>
    </row>
    <row r="3">
      <c r="A3" s="2"/>
      <c r="B3" s="10"/>
      <c r="C3" s="4"/>
      <c r="D3" s="4"/>
      <c r="E3" s="4"/>
      <c r="F3" s="4"/>
      <c r="G3" s="9">
        <v>2036.0</v>
      </c>
      <c r="H3" s="4"/>
      <c r="I3" s="12">
        <f t="shared" si="1"/>
        <v>29725.84175</v>
      </c>
      <c r="J3" s="10">
        <f>E25*0.05</f>
        <v>356710.101</v>
      </c>
      <c r="K3" s="12">
        <f t="shared" si="2"/>
        <v>14862.92087</v>
      </c>
      <c r="L3" s="12"/>
      <c r="M3" s="12"/>
    </row>
    <row r="4">
      <c r="A4" s="2" t="s">
        <v>27</v>
      </c>
      <c r="B4" s="26">
        <f>'Net Worth Monthly'!P34-'Net Worth Monthly'!P41</f>
        <v>1006000</v>
      </c>
      <c r="C4" s="4"/>
      <c r="D4" s="4"/>
      <c r="E4" s="4"/>
      <c r="F4" s="4"/>
      <c r="G4" s="9" t="s">
        <v>29</v>
      </c>
      <c r="H4" s="29"/>
      <c r="I4" s="29">
        <v>1600.0</v>
      </c>
      <c r="J4" s="29">
        <f>I4*12</f>
        <v>19200</v>
      </c>
      <c r="K4" s="29">
        <f>I4</f>
        <v>1600</v>
      </c>
      <c r="L4" s="4"/>
      <c r="M4" s="4"/>
    </row>
    <row r="5">
      <c r="A5" s="30" t="s">
        <v>30</v>
      </c>
      <c r="B5" s="31">
        <v>200000.0</v>
      </c>
      <c r="C5" s="4"/>
      <c r="D5" s="4"/>
      <c r="E5" s="4"/>
      <c r="F5" s="4"/>
      <c r="G5" s="9" t="s">
        <v>31</v>
      </c>
      <c r="H5" s="4"/>
      <c r="I5" s="12">
        <f>J5/12</f>
        <v>3750</v>
      </c>
      <c r="J5" s="31">
        <v>45000.0</v>
      </c>
      <c r="K5" s="31">
        <f>I5*0.5</f>
        <v>1875</v>
      </c>
      <c r="L5" s="33"/>
      <c r="M5" s="33"/>
    </row>
    <row r="6">
      <c r="A6" s="34" t="s">
        <v>32</v>
      </c>
      <c r="B6" s="10">
        <v>100000.0</v>
      </c>
      <c r="C6" s="35"/>
      <c r="D6" s="35"/>
      <c r="E6" s="35"/>
      <c r="F6" s="35"/>
      <c r="G6" s="7" t="s">
        <v>33</v>
      </c>
      <c r="H6" s="36"/>
      <c r="I6" s="36"/>
      <c r="J6" s="36"/>
      <c r="K6" s="36"/>
      <c r="L6" s="31"/>
      <c r="M6" s="31"/>
    </row>
    <row r="7">
      <c r="A7" s="34" t="s">
        <v>35</v>
      </c>
      <c r="B7" s="10">
        <v>400000.0</v>
      </c>
      <c r="C7" s="35"/>
      <c r="D7" s="35"/>
      <c r="E7" s="35"/>
      <c r="F7" s="35"/>
      <c r="G7" s="9">
        <v>2033.0</v>
      </c>
      <c r="H7" s="4"/>
      <c r="I7" s="4"/>
      <c r="J7" s="35"/>
      <c r="K7" s="37">
        <f>SUM(K2,K4,K5)</f>
        <v>15179.4632</v>
      </c>
      <c r="L7" s="38"/>
      <c r="M7" s="38"/>
    </row>
    <row r="8">
      <c r="A8" s="39" t="s">
        <v>36</v>
      </c>
      <c r="B8" s="40">
        <v>200000.0</v>
      </c>
      <c r="C8" s="41"/>
      <c r="D8" s="41"/>
      <c r="E8" s="41"/>
      <c r="F8" s="41"/>
      <c r="G8" s="42">
        <v>2036.0</v>
      </c>
      <c r="H8" s="43"/>
      <c r="I8" s="43"/>
      <c r="J8" s="41"/>
      <c r="K8" s="44">
        <f>sum(K3+K4+K5+K6)</f>
        <v>18337.92087</v>
      </c>
      <c r="L8" s="38"/>
      <c r="M8" s="38"/>
    </row>
    <row r="9">
      <c r="A9" s="35"/>
      <c r="B9" s="35"/>
      <c r="C9" s="35"/>
      <c r="D9" s="35"/>
      <c r="E9" s="35"/>
      <c r="F9" s="35"/>
    </row>
    <row r="10">
      <c r="A10" s="35"/>
      <c r="B10" s="35"/>
      <c r="C10" s="35"/>
      <c r="D10" s="35"/>
      <c r="E10" s="35"/>
      <c r="F10" s="45"/>
      <c r="G10" s="9"/>
      <c r="H10" s="4"/>
      <c r="I10" s="4"/>
      <c r="J10" s="35"/>
      <c r="K10" s="35"/>
      <c r="L10" s="35"/>
      <c r="M10" s="35"/>
    </row>
    <row r="11">
      <c r="A11" s="46" t="s">
        <v>38</v>
      </c>
      <c r="B11" s="47" t="s">
        <v>39</v>
      </c>
      <c r="C11" s="47" t="s">
        <v>40</v>
      </c>
      <c r="D11" s="47" t="s">
        <v>41</v>
      </c>
      <c r="E11" s="47" t="s">
        <v>42</v>
      </c>
      <c r="F11" s="48" t="s">
        <v>43</v>
      </c>
      <c r="G11" s="49" t="s">
        <v>44</v>
      </c>
      <c r="H11" s="49" t="s">
        <v>45</v>
      </c>
      <c r="I11" s="50" t="s">
        <v>46</v>
      </c>
      <c r="J11" s="47" t="s">
        <v>47</v>
      </c>
      <c r="K11" s="47" t="s">
        <v>48</v>
      </c>
      <c r="L11" s="51"/>
      <c r="M11" s="51"/>
    </row>
    <row r="12">
      <c r="A12" s="52">
        <v>42.0</v>
      </c>
      <c r="B12" s="52">
        <v>2023.0</v>
      </c>
      <c r="C12" s="10">
        <f>674836</f>
        <v>674836</v>
      </c>
      <c r="D12" s="10"/>
      <c r="E12" s="10">
        <v>859355.05845</v>
      </c>
      <c r="F12" s="53"/>
      <c r="G12" s="12"/>
      <c r="H12" s="12"/>
      <c r="I12" s="53">
        <v>1794603.7125</v>
      </c>
      <c r="J12" s="12">
        <v>2089910.55845</v>
      </c>
      <c r="K12" s="10"/>
      <c r="L12" s="10"/>
      <c r="M12" s="10"/>
    </row>
    <row r="13">
      <c r="A13" s="52">
        <v>43.0</v>
      </c>
      <c r="B13" s="52">
        <v>2024.0</v>
      </c>
      <c r="C13" s="10">
        <f>(FV(0.05,1,-(12*$B$2),-C12,0))+$B$5</f>
        <v>944577.8</v>
      </c>
      <c r="D13" s="10"/>
      <c r="E13" s="10">
        <f>'Net Worth Monthly'!K24+'Net Worth Monthly'!K14+'Net Worth Monthly'!K28</f>
        <v>1703214.346</v>
      </c>
      <c r="F13" s="54"/>
      <c r="G13" s="10"/>
      <c r="H13" s="10"/>
      <c r="I13" s="54">
        <v>2421503.5125</v>
      </c>
      <c r="J13" s="10">
        <f>'Net Worth Monthly'!K43</f>
        <v>2666372.346</v>
      </c>
      <c r="K13" s="29"/>
      <c r="L13" s="29"/>
      <c r="M13" s="29"/>
    </row>
    <row r="14">
      <c r="A14" s="52">
        <v>44.0</v>
      </c>
      <c r="B14" s="52">
        <v>2025.0</v>
      </c>
      <c r="C14" s="29">
        <v>1227806.69</v>
      </c>
      <c r="D14" s="10">
        <v>1921463.3155527802</v>
      </c>
      <c r="E14" s="10">
        <v>2919963.3155527804</v>
      </c>
      <c r="F14" s="55">
        <v>2150000.0</v>
      </c>
      <c r="G14" s="10">
        <f>'Net Worth Monthly'!T41</f>
        <v>1151713</v>
      </c>
      <c r="H14" s="10">
        <v>979000.0</v>
      </c>
      <c r="I14" s="53">
        <v>2697025.5625</v>
      </c>
      <c r="J14" s="10">
        <v>2900389.474845</v>
      </c>
      <c r="K14" s="12">
        <v>3898889.474845</v>
      </c>
      <c r="L14" s="4"/>
      <c r="M14" s="4"/>
    </row>
    <row r="15">
      <c r="A15" s="52">
        <v>45.0</v>
      </c>
      <c r="B15" s="52">
        <v>2026.0</v>
      </c>
      <c r="C15" s="29">
        <f t="shared" ref="C15:C25" si="3">(FV(0.05,1,-(12*$B$2),-C14,0))+$B$5</f>
        <v>1525197.025</v>
      </c>
      <c r="D15" s="12">
        <f>'Net Worth Monthly'!T14+'Net Worth Monthly'!T24</f>
        <v>2107512.723</v>
      </c>
      <c r="E15" s="12">
        <f>'Net Worth Monthly'!T14+'Net Worth Monthly'!T24+(942691*0.5)</f>
        <v>2578858.223</v>
      </c>
      <c r="F15" s="55">
        <f t="shared" ref="F15:F70" si="4">FV(0.015,1,0,-F14,0)</f>
        <v>2182250</v>
      </c>
      <c r="G15" s="59">
        <f>FV(-0.015,1,0,-G14,0)</f>
        <v>1134437.305</v>
      </c>
      <c r="H15" s="10">
        <f t="shared" ref="H15:H70" si="5">F15-G15</f>
        <v>1047812.695</v>
      </c>
      <c r="I15" s="53">
        <v>2985767.4202</v>
      </c>
      <c r="J15" s="10">
        <f>('Net Worth Monthly'!T14+'Net Worth Monthly'!T24+'Net Worth Monthly'!T34)-('Net Worth Monthly'!T41)</f>
        <v>3203799.723</v>
      </c>
      <c r="K15" s="12">
        <f>'Net Worth Monthly'!R43</f>
        <v>4203624</v>
      </c>
      <c r="L15" s="4"/>
      <c r="M15" s="4"/>
    </row>
    <row r="16">
      <c r="A16" s="52">
        <v>46.0</v>
      </c>
      <c r="B16" s="52">
        <v>2027.0</v>
      </c>
      <c r="C16" s="29">
        <f t="shared" si="3"/>
        <v>1837456.876</v>
      </c>
      <c r="D16" s="12">
        <f t="shared" ref="D16:D25" si="6">((FV(0.05,1,-(0),-D15,0))+$B$5)</f>
        <v>2412888.36</v>
      </c>
      <c r="E16" s="12">
        <f>((FV(0.05,1,-(0),-E15,0))+(748000*0.5))</f>
        <v>3081801.135</v>
      </c>
      <c r="F16" s="55">
        <f t="shared" si="4"/>
        <v>2214983.75</v>
      </c>
      <c r="G16" s="59">
        <f t="shared" ref="G16:G26" si="7">FV(-0.01,1,0,-G15,0)</f>
        <v>1123092.932</v>
      </c>
      <c r="H16" s="10">
        <f t="shared" si="5"/>
        <v>1091890.818</v>
      </c>
      <c r="I16" s="53">
        <v>3288378.950089</v>
      </c>
      <c r="J16" s="10"/>
      <c r="K16" s="4"/>
      <c r="L16" s="4"/>
      <c r="M16" s="4"/>
    </row>
    <row r="17">
      <c r="A17" s="52">
        <v>47.0</v>
      </c>
      <c r="B17" s="52">
        <v>2028.0</v>
      </c>
      <c r="C17" s="29">
        <f t="shared" si="3"/>
        <v>2165329.72</v>
      </c>
      <c r="D17" s="12">
        <f t="shared" si="6"/>
        <v>2733532.778</v>
      </c>
      <c r="E17" s="12">
        <f>((FV(0.05,1,-(0),-E16,0))+(600350*0.5))</f>
        <v>3536066.191</v>
      </c>
      <c r="F17" s="55">
        <f t="shared" si="4"/>
        <v>2248208.506</v>
      </c>
      <c r="G17" s="59">
        <f t="shared" si="7"/>
        <v>1111862.003</v>
      </c>
      <c r="H17" s="10">
        <f t="shared" si="5"/>
        <v>1136346.504</v>
      </c>
      <c r="I17" s="53">
        <v>3605542.28736253</v>
      </c>
      <c r="J17" s="10"/>
      <c r="K17" s="4"/>
      <c r="L17" s="4"/>
      <c r="M17" s="4"/>
    </row>
    <row r="18">
      <c r="A18" s="52">
        <v>48.0</v>
      </c>
      <c r="B18" s="52">
        <v>2029.0</v>
      </c>
      <c r="C18" s="29">
        <f t="shared" si="3"/>
        <v>2509596.205</v>
      </c>
      <c r="D18" s="12">
        <f t="shared" si="6"/>
        <v>3070209.416</v>
      </c>
      <c r="E18" s="12">
        <f t="shared" ref="E18:E25" si="8">((FV(0.05,1,-(0),-E17,0))+$B$5)</f>
        <v>3912869.501</v>
      </c>
      <c r="F18" s="55">
        <f t="shared" si="4"/>
        <v>2281931.634</v>
      </c>
      <c r="G18" s="59">
        <f t="shared" si="7"/>
        <v>1100743.383</v>
      </c>
      <c r="H18" s="10">
        <f t="shared" si="5"/>
        <v>1181188.251</v>
      </c>
      <c r="I18" s="53">
        <v>3937973.447007618</v>
      </c>
      <c r="J18" s="10"/>
      <c r="K18" s="4"/>
      <c r="L18" s="4"/>
      <c r="M18" s="4"/>
      <c r="O18" s="12"/>
    </row>
    <row r="19">
      <c r="A19" s="52">
        <v>49.0</v>
      </c>
      <c r="B19" s="52">
        <v>2030.0</v>
      </c>
      <c r="C19" s="29">
        <f t="shared" si="3"/>
        <v>2871076.016</v>
      </c>
      <c r="D19" s="12">
        <f t="shared" si="6"/>
        <v>3423719.887</v>
      </c>
      <c r="E19" s="12">
        <f t="shared" si="8"/>
        <v>4308512.976</v>
      </c>
      <c r="F19" s="55">
        <f t="shared" si="4"/>
        <v>2316160.608</v>
      </c>
      <c r="G19" s="59">
        <f t="shared" si="7"/>
        <v>1089735.949</v>
      </c>
      <c r="H19" s="10">
        <f t="shared" si="5"/>
        <v>1226424.66</v>
      </c>
      <c r="I19" s="53">
        <v>4286424.013253</v>
      </c>
      <c r="J19" s="10"/>
      <c r="K19" s="4"/>
      <c r="L19" s="4"/>
      <c r="M19" s="4"/>
    </row>
    <row r="20">
      <c r="A20" s="52">
        <v>50.0</v>
      </c>
      <c r="B20" s="52">
        <v>2031.0</v>
      </c>
      <c r="C20" s="29">
        <f t="shared" si="3"/>
        <v>3250629.817</v>
      </c>
      <c r="D20" s="12">
        <f t="shared" si="6"/>
        <v>3794905.882</v>
      </c>
      <c r="E20" s="12">
        <f t="shared" si="8"/>
        <v>4723938.625</v>
      </c>
      <c r="F20" s="55">
        <f t="shared" si="4"/>
        <v>2350903.017</v>
      </c>
      <c r="G20" s="59">
        <f t="shared" si="7"/>
        <v>1078838.589</v>
      </c>
      <c r="H20" s="10">
        <f t="shared" si="5"/>
        <v>1272064.428</v>
      </c>
      <c r="I20" s="53">
        <v>4651682.913401051</v>
      </c>
      <c r="J20" s="10"/>
      <c r="K20" s="4"/>
      <c r="L20" s="4"/>
      <c r="M20" s="4"/>
    </row>
    <row r="21">
      <c r="A21" s="52">
        <v>51.0</v>
      </c>
      <c r="B21" s="52">
        <v>2032.0</v>
      </c>
      <c r="C21" s="29">
        <f t="shared" si="3"/>
        <v>3649161.307</v>
      </c>
      <c r="D21" s="12">
        <f t="shared" si="6"/>
        <v>4184651.176</v>
      </c>
      <c r="E21" s="12">
        <f t="shared" si="8"/>
        <v>5160135.556</v>
      </c>
      <c r="F21" s="55">
        <f t="shared" si="4"/>
        <v>2386166.563</v>
      </c>
      <c r="G21" s="59">
        <f t="shared" si="7"/>
        <v>1068050.203</v>
      </c>
      <c r="H21" s="10">
        <f t="shared" si="5"/>
        <v>1318116.359</v>
      </c>
      <c r="I21" s="53">
        <v>5034578.280258713</v>
      </c>
      <c r="J21" s="10"/>
      <c r="K21" s="4"/>
      <c r="L21" s="4"/>
      <c r="M21" s="4"/>
    </row>
    <row r="22">
      <c r="A22" s="70">
        <v>52.0</v>
      </c>
      <c r="B22" s="70">
        <v>2033.0</v>
      </c>
      <c r="C22" s="71">
        <f t="shared" si="3"/>
        <v>4067619.373</v>
      </c>
      <c r="D22" s="71">
        <f t="shared" si="6"/>
        <v>4593883.734</v>
      </c>
      <c r="E22" s="71">
        <f t="shared" si="8"/>
        <v>5618142.334</v>
      </c>
      <c r="F22" s="71">
        <f t="shared" si="4"/>
        <v>2421959.061</v>
      </c>
      <c r="G22" s="72">
        <f t="shared" si="7"/>
        <v>1057369.701</v>
      </c>
      <c r="H22" s="72">
        <f t="shared" si="5"/>
        <v>1364589.36</v>
      </c>
      <c r="I22" s="73">
        <v>5435979.407595511</v>
      </c>
      <c r="J22" s="70"/>
      <c r="K22" s="71"/>
      <c r="L22" s="74"/>
      <c r="M22" s="74"/>
    </row>
    <row r="23">
      <c r="A23" s="52">
        <v>53.0</v>
      </c>
      <c r="B23" s="52">
        <v>2034.0</v>
      </c>
      <c r="C23" s="29">
        <f t="shared" si="3"/>
        <v>4507000.341</v>
      </c>
      <c r="D23" s="12">
        <f t="shared" si="6"/>
        <v>5023577.921</v>
      </c>
      <c r="E23" s="12">
        <f t="shared" si="8"/>
        <v>6099049.45</v>
      </c>
      <c r="F23" s="55">
        <f t="shared" si="4"/>
        <v>2458288.447</v>
      </c>
      <c r="G23" s="29">
        <f t="shared" si="7"/>
        <v>1046796.004</v>
      </c>
      <c r="H23" s="10">
        <f t="shared" si="5"/>
        <v>1411492.443</v>
      </c>
      <c r="I23" s="53">
        <v>5856798.803278124</v>
      </c>
      <c r="J23" s="10"/>
      <c r="K23" s="4"/>
      <c r="L23" s="4"/>
      <c r="M23" s="4"/>
    </row>
    <row r="24">
      <c r="A24" s="52">
        <v>54.0</v>
      </c>
      <c r="B24" s="52">
        <v>2035.0</v>
      </c>
      <c r="C24" s="29">
        <f t="shared" si="3"/>
        <v>4968350.358</v>
      </c>
      <c r="D24" s="12">
        <f t="shared" si="6"/>
        <v>5474756.817</v>
      </c>
      <c r="E24" s="12">
        <f t="shared" si="8"/>
        <v>6604001.923</v>
      </c>
      <c r="F24" s="55">
        <f t="shared" si="4"/>
        <v>2495162.774</v>
      </c>
      <c r="G24" s="29">
        <f t="shared" si="7"/>
        <v>1036328.044</v>
      </c>
      <c r="H24" s="10">
        <f t="shared" si="5"/>
        <v>1458834.729</v>
      </c>
      <c r="I24" s="53">
        <v>6297994.344963425</v>
      </c>
      <c r="J24" s="10"/>
      <c r="K24" s="4"/>
      <c r="L24" s="4"/>
      <c r="M24" s="4"/>
    </row>
    <row r="25">
      <c r="A25" s="75">
        <v>55.0</v>
      </c>
      <c r="B25" s="75">
        <v>2036.0</v>
      </c>
      <c r="C25" s="76">
        <f t="shared" si="3"/>
        <v>5452767.876</v>
      </c>
      <c r="D25" s="76">
        <f t="shared" si="6"/>
        <v>5948494.658</v>
      </c>
      <c r="E25" s="76">
        <f t="shared" si="8"/>
        <v>7134202.019</v>
      </c>
      <c r="F25" s="76">
        <f t="shared" si="4"/>
        <v>2532590.215</v>
      </c>
      <c r="G25" s="72">
        <f t="shared" si="7"/>
        <v>1025964.764</v>
      </c>
      <c r="H25" s="72">
        <f t="shared" si="5"/>
        <v>1506625.452</v>
      </c>
      <c r="I25" s="77">
        <v>6760571.543475919</v>
      </c>
      <c r="J25" s="75"/>
      <c r="K25" s="76"/>
      <c r="L25" s="78"/>
      <c r="M25" s="78"/>
    </row>
    <row r="26">
      <c r="A26" s="52">
        <v>56.0</v>
      </c>
      <c r="B26" s="52">
        <v>2037.0</v>
      </c>
      <c r="C26" s="29">
        <f t="shared" ref="C26:C70" si="9">(FV(0.025,1,-(12*$B$2),-C25,0))+$B$5</f>
        <v>5825087.073</v>
      </c>
      <c r="D26" s="12">
        <f t="shared" ref="D26:D45" si="10">(FV(0.025,1,0,-D25,0))-200000</f>
        <v>5897207.025</v>
      </c>
      <c r="E26" s="12">
        <f t="shared" ref="E26:E44" si="11">(FV(0.025,1,0,-E25,0))-$B$7</f>
        <v>6912557.07</v>
      </c>
      <c r="F26" s="55">
        <f t="shared" si="4"/>
        <v>2570579.069</v>
      </c>
      <c r="G26" s="80">
        <f t="shared" si="7"/>
        <v>1015705.116</v>
      </c>
      <c r="H26" s="10">
        <f t="shared" si="5"/>
        <v>1554873.952</v>
      </c>
      <c r="I26" s="53">
        <v>7245585.919251826</v>
      </c>
      <c r="J26" s="10"/>
      <c r="K26" s="4"/>
      <c r="L26" s="4"/>
      <c r="M26" s="4"/>
    </row>
    <row r="27">
      <c r="A27" s="52">
        <v>57.0</v>
      </c>
      <c r="B27" s="52">
        <v>2038.0</v>
      </c>
      <c r="C27" s="29">
        <f t="shared" si="9"/>
        <v>6206714.25</v>
      </c>
      <c r="D27" s="12">
        <f t="shared" si="10"/>
        <v>5844637.2</v>
      </c>
      <c r="E27" s="12">
        <f t="shared" si="11"/>
        <v>6685370.996</v>
      </c>
      <c r="F27" s="55">
        <f t="shared" si="4"/>
        <v>2609137.755</v>
      </c>
      <c r="G27" s="10">
        <v>0.0</v>
      </c>
      <c r="H27" s="10">
        <f t="shared" si="5"/>
        <v>2609137.755</v>
      </c>
      <c r="I27" s="53">
        <v>7754145.497501069</v>
      </c>
      <c r="J27" s="10"/>
      <c r="K27" s="4"/>
      <c r="L27" s="4"/>
      <c r="M27" s="4"/>
    </row>
    <row r="28">
      <c r="A28" s="52">
        <v>58.0</v>
      </c>
      <c r="B28" s="52">
        <v>2039.0</v>
      </c>
      <c r="C28" s="29">
        <f t="shared" si="9"/>
        <v>6597882.106</v>
      </c>
      <c r="D28" s="12">
        <f t="shared" si="10"/>
        <v>5790753.13</v>
      </c>
      <c r="E28" s="12">
        <f t="shared" si="11"/>
        <v>6452505.271</v>
      </c>
      <c r="F28" s="55">
        <f t="shared" si="4"/>
        <v>2648274.821</v>
      </c>
      <c r="G28" s="10">
        <v>0.0</v>
      </c>
      <c r="H28" s="10">
        <f t="shared" si="5"/>
        <v>2648274.821</v>
      </c>
      <c r="I28" s="53">
        <v>8287413.428021007</v>
      </c>
      <c r="J28" s="10"/>
      <c r="K28" s="4"/>
      <c r="L28" s="4"/>
      <c r="M28" s="4"/>
    </row>
    <row r="29">
      <c r="A29" s="52">
        <v>59.0</v>
      </c>
      <c r="B29" s="52">
        <v>2040.0</v>
      </c>
      <c r="C29" s="29">
        <f t="shared" si="9"/>
        <v>6998829.159</v>
      </c>
      <c r="D29" s="12">
        <f t="shared" si="10"/>
        <v>5735521.958</v>
      </c>
      <c r="E29" s="12">
        <f t="shared" si="11"/>
        <v>6213817.903</v>
      </c>
      <c r="F29" s="55">
        <f t="shared" si="4"/>
        <v>2687998.943</v>
      </c>
      <c r="G29" s="10">
        <v>0.0</v>
      </c>
      <c r="H29" s="10">
        <f t="shared" si="5"/>
        <v>2687998.943</v>
      </c>
      <c r="I29" s="53">
        <v>8846610.73589234</v>
      </c>
      <c r="J29" s="10"/>
      <c r="K29" s="4"/>
      <c r="L29" s="4"/>
      <c r="M29" s="4"/>
    </row>
    <row r="30">
      <c r="A30" s="52">
        <v>60.0</v>
      </c>
      <c r="B30" s="52">
        <v>2041.0</v>
      </c>
      <c r="C30" s="29">
        <f t="shared" si="9"/>
        <v>7409799.888</v>
      </c>
      <c r="D30" s="12">
        <f t="shared" si="10"/>
        <v>5678910.007</v>
      </c>
      <c r="E30" s="12">
        <f t="shared" si="11"/>
        <v>5969163.351</v>
      </c>
      <c r="F30" s="55">
        <f t="shared" si="4"/>
        <v>2728318.927</v>
      </c>
      <c r="G30" s="10">
        <v>0.0</v>
      </c>
      <c r="H30" s="10">
        <f t="shared" si="5"/>
        <v>2728318.927</v>
      </c>
      <c r="I30" s="53">
        <v>9433019.209599145</v>
      </c>
      <c r="J30" s="10"/>
      <c r="K30" s="4"/>
      <c r="L30" s="4"/>
      <c r="M30" s="4"/>
    </row>
    <row r="31">
      <c r="A31" s="52">
        <v>61.0</v>
      </c>
      <c r="B31" s="52">
        <v>2042.0</v>
      </c>
      <c r="C31" s="29">
        <f t="shared" si="9"/>
        <v>7831044.885</v>
      </c>
      <c r="D31" s="12">
        <f t="shared" si="10"/>
        <v>5620882.758</v>
      </c>
      <c r="E31" s="12">
        <f t="shared" si="11"/>
        <v>5718392.434</v>
      </c>
      <c r="F31" s="55">
        <f t="shared" si="4"/>
        <v>2769243.711</v>
      </c>
      <c r="G31" s="10">
        <v>0.0</v>
      </c>
      <c r="H31" s="10">
        <f t="shared" si="5"/>
        <v>2769243.711</v>
      </c>
      <c r="I31" s="53">
        <v>1.0047984433442034E7</v>
      </c>
      <c r="J31" s="10"/>
      <c r="K31" s="4"/>
      <c r="L31" s="4"/>
      <c r="M31" s="4"/>
    </row>
    <row r="32">
      <c r="A32" s="52">
        <v>62.0</v>
      </c>
      <c r="B32" s="52">
        <v>2043.0</v>
      </c>
      <c r="C32" s="29">
        <f t="shared" si="9"/>
        <v>8262821.007</v>
      </c>
      <c r="D32" s="12">
        <f t="shared" si="10"/>
        <v>5561404.827</v>
      </c>
      <c r="E32" s="12">
        <f t="shared" si="11"/>
        <v>5461352.245</v>
      </c>
      <c r="F32" s="55">
        <f t="shared" si="4"/>
        <v>2810782.367</v>
      </c>
      <c r="G32" s="10">
        <v>0.0</v>
      </c>
      <c r="H32" s="10">
        <f t="shared" si="5"/>
        <v>2810782.367</v>
      </c>
      <c r="I32" s="53">
        <v>1.0692918971456828E7</v>
      </c>
      <c r="J32" s="10"/>
      <c r="K32" s="4"/>
      <c r="L32" s="4"/>
      <c r="M32" s="4"/>
    </row>
    <row r="33">
      <c r="A33" s="52">
        <v>63.0</v>
      </c>
      <c r="B33" s="52">
        <v>2044.0</v>
      </c>
      <c r="C33" s="29">
        <f t="shared" si="9"/>
        <v>8705391.533</v>
      </c>
      <c r="D33" s="12">
        <f t="shared" si="10"/>
        <v>5500439.947</v>
      </c>
      <c r="E33" s="12">
        <f t="shared" si="11"/>
        <v>5197886.051</v>
      </c>
      <c r="F33" s="55">
        <f t="shared" si="4"/>
        <v>2852944.103</v>
      </c>
      <c r="G33" s="10">
        <v>0.0</v>
      </c>
      <c r="H33" s="10">
        <f t="shared" si="5"/>
        <v>2852944.103</v>
      </c>
      <c r="I33" s="53">
        <v>1.1369305710411713E7</v>
      </c>
      <c r="J33" s="10"/>
      <c r="K33" s="4"/>
      <c r="L33" s="4"/>
      <c r="M33" s="4"/>
    </row>
    <row r="34">
      <c r="A34" s="52">
        <v>64.0</v>
      </c>
      <c r="B34" s="52">
        <v>2045.0</v>
      </c>
      <c r="C34" s="29">
        <f t="shared" si="9"/>
        <v>9159026.321</v>
      </c>
      <c r="D34" s="12">
        <f t="shared" si="10"/>
        <v>5437950.946</v>
      </c>
      <c r="E34" s="12">
        <f t="shared" si="11"/>
        <v>4927833.203</v>
      </c>
      <c r="F34" s="55">
        <f t="shared" si="4"/>
        <v>2895738.264</v>
      </c>
      <c r="G34" s="10">
        <v>0.0</v>
      </c>
      <c r="H34" s="10">
        <f t="shared" si="5"/>
        <v>2895738.264</v>
      </c>
      <c r="I34" s="53">
        <v>1.2078701369834483E7</v>
      </c>
      <c r="J34" s="10"/>
      <c r="K34" s="4"/>
      <c r="L34" s="4"/>
      <c r="M34" s="4"/>
    </row>
    <row r="35">
      <c r="A35" s="52">
        <v>65.0</v>
      </c>
      <c r="B35" s="52">
        <v>2046.0</v>
      </c>
      <c r="C35" s="29">
        <f t="shared" si="9"/>
        <v>9624001.979</v>
      </c>
      <c r="D35" s="12">
        <f t="shared" si="10"/>
        <v>5373899.72</v>
      </c>
      <c r="E35" s="12">
        <f t="shared" si="11"/>
        <v>4651029.033</v>
      </c>
      <c r="F35" s="55">
        <f t="shared" si="4"/>
        <v>2939174.338</v>
      </c>
      <c r="G35" s="10">
        <v>0.0</v>
      </c>
      <c r="H35" s="10">
        <f t="shared" si="5"/>
        <v>2939174.338</v>
      </c>
      <c r="I35" s="53">
        <v>1.2822740187418936E7</v>
      </c>
      <c r="J35" s="10"/>
      <c r="K35" s="4"/>
      <c r="L35" s="4"/>
      <c r="M35" s="4"/>
    </row>
    <row r="36">
      <c r="A36" s="52">
        <v>66.0</v>
      </c>
      <c r="B36" s="52">
        <v>2047.0</v>
      </c>
      <c r="C36" s="29">
        <f t="shared" si="9"/>
        <v>10100602.03</v>
      </c>
      <c r="D36" s="12">
        <f t="shared" si="10"/>
        <v>5308247.212</v>
      </c>
      <c r="E36" s="12">
        <f t="shared" si="11"/>
        <v>4367304.758</v>
      </c>
      <c r="F36" s="55">
        <f t="shared" si="4"/>
        <v>2983261.953</v>
      </c>
      <c r="G36" s="10">
        <v>0.0</v>
      </c>
      <c r="H36" s="10">
        <f t="shared" si="5"/>
        <v>2983261.953</v>
      </c>
      <c r="I36" s="53">
        <v>1.34458258907503E7</v>
      </c>
      <c r="J36" s="10"/>
      <c r="K36" s="4"/>
      <c r="L36" s="4"/>
      <c r="M36" s="4"/>
    </row>
    <row r="37">
      <c r="A37" s="52">
        <v>67.0</v>
      </c>
      <c r="B37" s="52">
        <v>2048.0</v>
      </c>
      <c r="C37" s="29">
        <f t="shared" si="9"/>
        <v>10589117.08</v>
      </c>
      <c r="D37" s="12">
        <f t="shared" si="10"/>
        <v>5240953.393</v>
      </c>
      <c r="E37" s="12">
        <f t="shared" si="11"/>
        <v>4076487.377</v>
      </c>
      <c r="F37" s="55">
        <f t="shared" si="4"/>
        <v>3028010.882</v>
      </c>
      <c r="G37" s="10">
        <v>0.0</v>
      </c>
      <c r="H37" s="10">
        <f t="shared" si="5"/>
        <v>3028010.882</v>
      </c>
      <c r="I37" s="53">
        <v>1.41234585318141E7</v>
      </c>
      <c r="J37" s="10"/>
      <c r="K37" s="4"/>
      <c r="L37" s="4"/>
      <c r="M37" s="4"/>
    </row>
    <row r="38">
      <c r="A38" s="52">
        <v>68.0</v>
      </c>
      <c r="B38" s="52">
        <v>2049.0</v>
      </c>
      <c r="C38" s="29">
        <f t="shared" si="9"/>
        <v>11089845.01</v>
      </c>
      <c r="D38" s="12">
        <f t="shared" si="10"/>
        <v>5171977.228</v>
      </c>
      <c r="E38" s="12">
        <f t="shared" si="11"/>
        <v>3778399.562</v>
      </c>
      <c r="F38" s="55">
        <f t="shared" si="4"/>
        <v>3073431.046</v>
      </c>
      <c r="G38" s="10">
        <v>0.0</v>
      </c>
      <c r="H38" s="10">
        <f t="shared" si="5"/>
        <v>3073431.046</v>
      </c>
      <c r="I38" s="53">
        <v>1.48010911728778E7</v>
      </c>
      <c r="J38" s="10"/>
      <c r="K38" s="4"/>
      <c r="L38" s="4"/>
      <c r="M38" s="4"/>
    </row>
    <row r="39">
      <c r="A39" s="52">
        <v>69.0</v>
      </c>
      <c r="B39" s="52">
        <v>2050.0</v>
      </c>
      <c r="C39" s="29">
        <f t="shared" si="9"/>
        <v>11603091.13</v>
      </c>
      <c r="D39" s="12">
        <f t="shared" si="10"/>
        <v>5101276.658</v>
      </c>
      <c r="E39" s="12">
        <f t="shared" si="11"/>
        <v>3472859.551</v>
      </c>
      <c r="F39" s="55">
        <f t="shared" si="4"/>
        <v>3119532.511</v>
      </c>
      <c r="G39" s="10">
        <v>0.0</v>
      </c>
      <c r="H39" s="10">
        <f t="shared" si="5"/>
        <v>3119532.511</v>
      </c>
      <c r="I39" s="53">
        <v>1.54787238139416E7</v>
      </c>
      <c r="J39" s="10"/>
      <c r="K39" s="4"/>
      <c r="L39" s="4"/>
      <c r="M39" s="4"/>
    </row>
    <row r="40">
      <c r="A40" s="52">
        <v>70.0</v>
      </c>
      <c r="B40" s="52">
        <v>2051.0</v>
      </c>
      <c r="C40" s="29">
        <f t="shared" si="9"/>
        <v>12129168.41</v>
      </c>
      <c r="D40" s="12">
        <f t="shared" si="10"/>
        <v>5028808.575</v>
      </c>
      <c r="E40" s="12">
        <f t="shared" si="11"/>
        <v>3159681.04</v>
      </c>
      <c r="F40" s="55">
        <f t="shared" si="4"/>
        <v>3166325.499</v>
      </c>
      <c r="G40" s="10">
        <v>0.0</v>
      </c>
      <c r="H40" s="10">
        <f t="shared" si="5"/>
        <v>3166325.499</v>
      </c>
      <c r="I40" s="53">
        <v>1.61563564550053E7</v>
      </c>
      <c r="J40" s="10"/>
      <c r="K40" s="4"/>
      <c r="L40" s="4"/>
      <c r="M40" s="4"/>
    </row>
    <row r="41">
      <c r="A41" s="52">
        <v>71.0</v>
      </c>
      <c r="B41" s="52">
        <v>2052.0</v>
      </c>
      <c r="C41" s="29">
        <f t="shared" si="9"/>
        <v>12668397.62</v>
      </c>
      <c r="D41" s="12">
        <f t="shared" si="10"/>
        <v>4954528.789</v>
      </c>
      <c r="E41" s="12">
        <f t="shared" si="11"/>
        <v>2838673.066</v>
      </c>
      <c r="F41" s="55">
        <f t="shared" si="4"/>
        <v>3213820.381</v>
      </c>
      <c r="G41" s="10">
        <v>0.0</v>
      </c>
      <c r="H41" s="10">
        <f t="shared" si="5"/>
        <v>3213820.381</v>
      </c>
      <c r="I41" s="53">
        <v>1.68339890960691E7</v>
      </c>
      <c r="J41" s="10"/>
      <c r="K41" s="4"/>
      <c r="L41" s="4"/>
      <c r="M41" s="4"/>
    </row>
    <row r="42">
      <c r="A42" s="52">
        <v>72.0</v>
      </c>
      <c r="B42" s="52">
        <v>2053.0</v>
      </c>
      <c r="C42" s="29">
        <f t="shared" si="9"/>
        <v>13221107.56</v>
      </c>
      <c r="D42" s="12">
        <f t="shared" si="10"/>
        <v>4878392.009</v>
      </c>
      <c r="E42" s="12">
        <f t="shared" si="11"/>
        <v>2509639.892</v>
      </c>
      <c r="F42" s="55">
        <f t="shared" si="4"/>
        <v>3262027.687</v>
      </c>
      <c r="G42" s="10">
        <v>0.0</v>
      </c>
      <c r="H42" s="10">
        <f t="shared" si="5"/>
        <v>3262027.687</v>
      </c>
      <c r="I42" s="53">
        <v>1.75116217371328E7</v>
      </c>
      <c r="J42" s="10"/>
      <c r="K42" s="4"/>
      <c r="L42" s="4"/>
      <c r="M42" s="4"/>
    </row>
    <row r="43">
      <c r="A43" s="52">
        <v>73.0</v>
      </c>
      <c r="B43" s="52">
        <v>2054.0</v>
      </c>
      <c r="C43" s="29">
        <f t="shared" si="9"/>
        <v>13787635.25</v>
      </c>
      <c r="D43" s="12">
        <f t="shared" si="10"/>
        <v>4800351.809</v>
      </c>
      <c r="E43" s="12">
        <f t="shared" si="11"/>
        <v>2172380.89</v>
      </c>
      <c r="F43" s="55">
        <f t="shared" si="4"/>
        <v>3310958.103</v>
      </c>
      <c r="G43" s="10">
        <v>0.0</v>
      </c>
      <c r="H43" s="10">
        <f t="shared" si="5"/>
        <v>3310958.103</v>
      </c>
      <c r="I43" s="53">
        <v>1.81892543781966E7</v>
      </c>
      <c r="J43" s="10"/>
      <c r="K43" s="4"/>
      <c r="L43" s="4"/>
      <c r="M43" s="4"/>
    </row>
    <row r="44">
      <c r="A44" s="52">
        <v>74.0</v>
      </c>
      <c r="B44" s="52">
        <v>2055.0</v>
      </c>
      <c r="C44" s="29">
        <f t="shared" si="9"/>
        <v>14368326.13</v>
      </c>
      <c r="D44" s="12">
        <f t="shared" si="10"/>
        <v>4720360.604</v>
      </c>
      <c r="E44" s="12">
        <f t="shared" si="11"/>
        <v>1826690.412</v>
      </c>
      <c r="F44" s="55">
        <f t="shared" si="4"/>
        <v>3360622.474</v>
      </c>
      <c r="G44" s="10">
        <v>0.0</v>
      </c>
      <c r="H44" s="10">
        <f t="shared" si="5"/>
        <v>3360622.474</v>
      </c>
      <c r="I44" s="53">
        <v>1.88668870192603E7</v>
      </c>
      <c r="J44" s="10"/>
      <c r="K44" s="4"/>
      <c r="L44" s="4"/>
      <c r="M44" s="4"/>
    </row>
    <row r="45">
      <c r="A45" s="52">
        <v>75.0</v>
      </c>
      <c r="B45" s="52">
        <v>2056.0</v>
      </c>
      <c r="C45" s="29">
        <f t="shared" si="9"/>
        <v>14963534.28</v>
      </c>
      <c r="D45" s="12">
        <f t="shared" si="10"/>
        <v>4638369.619</v>
      </c>
      <c r="E45" s="12">
        <f t="shared" ref="E45:E70" si="12">(FV(0.025,1,0,-E44,0))-$B$8</f>
        <v>1672357.672</v>
      </c>
      <c r="F45" s="55">
        <f t="shared" si="4"/>
        <v>3411031.811</v>
      </c>
      <c r="G45" s="10">
        <v>0.0</v>
      </c>
      <c r="H45" s="10">
        <f t="shared" si="5"/>
        <v>3411031.811</v>
      </c>
      <c r="I45" s="53">
        <v>1.95445196603241E7</v>
      </c>
      <c r="J45" s="10"/>
      <c r="K45" s="4"/>
      <c r="L45" s="4"/>
      <c r="M45" s="4"/>
    </row>
    <row r="46">
      <c r="A46" s="52">
        <v>76.0</v>
      </c>
      <c r="B46" s="52">
        <v>2057.0</v>
      </c>
      <c r="C46" s="29">
        <f t="shared" si="9"/>
        <v>15573622.64</v>
      </c>
      <c r="D46" s="12">
        <f t="shared" ref="D46:D70" si="13">(FV(0.025,1,0,-D45,0))-125000</f>
        <v>4629328.86</v>
      </c>
      <c r="E46" s="12">
        <f t="shared" si="12"/>
        <v>1514166.614</v>
      </c>
      <c r="F46" s="55">
        <f t="shared" si="4"/>
        <v>3462197.288</v>
      </c>
      <c r="G46" s="10">
        <v>0.0</v>
      </c>
      <c r="H46" s="10">
        <f t="shared" si="5"/>
        <v>3462197.288</v>
      </c>
      <c r="I46" s="53">
        <v>2.02221523013878E7</v>
      </c>
      <c r="J46" s="10"/>
      <c r="K46" s="4"/>
      <c r="L46" s="4"/>
      <c r="M46" s="4"/>
    </row>
    <row r="47">
      <c r="A47" s="52">
        <v>77.0</v>
      </c>
      <c r="B47" s="52">
        <v>2058.0</v>
      </c>
      <c r="C47" s="29">
        <f t="shared" si="9"/>
        <v>16198963.21</v>
      </c>
      <c r="D47" s="12">
        <f t="shared" si="13"/>
        <v>4620062.081</v>
      </c>
      <c r="E47" s="12">
        <f t="shared" si="12"/>
        <v>1352020.779</v>
      </c>
      <c r="F47" s="55">
        <f t="shared" si="4"/>
        <v>3514130.248</v>
      </c>
      <c r="G47" s="10">
        <v>0.0</v>
      </c>
      <c r="H47" s="10">
        <f t="shared" si="5"/>
        <v>3514130.248</v>
      </c>
      <c r="I47" s="53">
        <v>2.08997849424516E7</v>
      </c>
      <c r="J47" s="10"/>
      <c r="K47" s="4"/>
      <c r="L47" s="4"/>
      <c r="M47" s="4"/>
    </row>
    <row r="48">
      <c r="A48" s="52">
        <v>78.0</v>
      </c>
      <c r="B48" s="52">
        <v>2059.0</v>
      </c>
      <c r="C48" s="29">
        <f t="shared" si="9"/>
        <v>16839937.29</v>
      </c>
      <c r="D48" s="12">
        <f t="shared" si="13"/>
        <v>4610563.633</v>
      </c>
      <c r="E48" s="12">
        <f t="shared" si="12"/>
        <v>1185821.299</v>
      </c>
      <c r="F48" s="55">
        <f t="shared" si="4"/>
        <v>3566842.201</v>
      </c>
      <c r="G48" s="10">
        <v>0.0</v>
      </c>
      <c r="H48" s="10">
        <f t="shared" si="5"/>
        <v>3566842.201</v>
      </c>
      <c r="I48" s="53">
        <v>2.15774175835153E7</v>
      </c>
      <c r="J48" s="10"/>
      <c r="K48" s="4"/>
      <c r="L48" s="4"/>
      <c r="M48" s="4"/>
    </row>
    <row r="49">
      <c r="A49" s="52">
        <v>79.0</v>
      </c>
      <c r="B49" s="52">
        <v>2060.0</v>
      </c>
      <c r="C49" s="29">
        <f t="shared" si="9"/>
        <v>17496935.72</v>
      </c>
      <c r="D49" s="12">
        <f t="shared" si="13"/>
        <v>4600827.724</v>
      </c>
      <c r="E49" s="12">
        <f t="shared" si="12"/>
        <v>1015466.831</v>
      </c>
      <c r="F49" s="55">
        <f t="shared" si="4"/>
        <v>3620344.834</v>
      </c>
      <c r="G49" s="10">
        <v>0.0</v>
      </c>
      <c r="H49" s="10">
        <f t="shared" si="5"/>
        <v>3620344.834</v>
      </c>
      <c r="I49" s="53">
        <v>2.22550502245791E7</v>
      </c>
      <c r="J49" s="10"/>
      <c r="K49" s="4"/>
      <c r="L49" s="4"/>
      <c r="M49" s="4"/>
    </row>
    <row r="50">
      <c r="A50" s="52">
        <v>80.0</v>
      </c>
      <c r="B50" s="52">
        <v>2061.0</v>
      </c>
      <c r="C50" s="29">
        <f t="shared" si="9"/>
        <v>18170359.11</v>
      </c>
      <c r="D50" s="12">
        <f t="shared" si="13"/>
        <v>4590848.417</v>
      </c>
      <c r="E50" s="12">
        <f t="shared" si="12"/>
        <v>840853.5021</v>
      </c>
      <c r="F50" s="55">
        <f t="shared" si="4"/>
        <v>3674650.007</v>
      </c>
      <c r="G50" s="10">
        <v>0.0</v>
      </c>
      <c r="H50" s="10">
        <f t="shared" si="5"/>
        <v>3674650.007</v>
      </c>
      <c r="I50" s="53">
        <v>2.29326828656428E7</v>
      </c>
      <c r="J50" s="10"/>
      <c r="K50" s="4"/>
      <c r="L50" s="4"/>
      <c r="M50" s="4"/>
    </row>
    <row r="51">
      <c r="A51" s="52">
        <v>81.0</v>
      </c>
      <c r="B51" s="52">
        <v>2062.0</v>
      </c>
      <c r="C51" s="29">
        <f t="shared" si="9"/>
        <v>18860618.09</v>
      </c>
      <c r="D51" s="12">
        <f t="shared" si="13"/>
        <v>4580619.628</v>
      </c>
      <c r="E51" s="12">
        <f t="shared" si="12"/>
        <v>661874.8396</v>
      </c>
      <c r="F51" s="55">
        <f t="shared" si="4"/>
        <v>3729769.757</v>
      </c>
      <c r="G51" s="10">
        <v>0.0</v>
      </c>
      <c r="H51" s="10">
        <f t="shared" si="5"/>
        <v>3729769.757</v>
      </c>
      <c r="I51" s="53">
        <v>2.36103155067066E7</v>
      </c>
      <c r="J51" s="10"/>
      <c r="K51" s="4"/>
      <c r="L51" s="4"/>
      <c r="M51" s="4"/>
    </row>
    <row r="52">
      <c r="A52" s="52">
        <v>82.0</v>
      </c>
      <c r="B52" s="52">
        <v>2063.0</v>
      </c>
      <c r="C52" s="29">
        <f t="shared" si="9"/>
        <v>19568133.54</v>
      </c>
      <c r="D52" s="12">
        <f t="shared" si="13"/>
        <v>4570135.119</v>
      </c>
      <c r="E52" s="12">
        <f t="shared" si="12"/>
        <v>478421.7106</v>
      </c>
      <c r="F52" s="55">
        <f t="shared" si="4"/>
        <v>3785716.303</v>
      </c>
      <c r="G52" s="10">
        <v>0.0</v>
      </c>
      <c r="H52" s="10">
        <f t="shared" si="5"/>
        <v>3785716.303</v>
      </c>
      <c r="I52" s="53">
        <v>2.42879481477703E7</v>
      </c>
      <c r="J52" s="10"/>
      <c r="K52" s="4"/>
      <c r="L52" s="4"/>
      <c r="M52" s="4"/>
    </row>
    <row r="53">
      <c r="A53" s="52">
        <v>83.0</v>
      </c>
      <c r="B53" s="52">
        <v>2064.0</v>
      </c>
      <c r="C53" s="29">
        <f t="shared" si="9"/>
        <v>20293336.88</v>
      </c>
      <c r="D53" s="12">
        <f t="shared" si="13"/>
        <v>4559388.496</v>
      </c>
      <c r="E53" s="12">
        <f t="shared" si="12"/>
        <v>290382.2534</v>
      </c>
      <c r="F53" s="55">
        <f t="shared" si="4"/>
        <v>3842502.048</v>
      </c>
      <c r="G53" s="10">
        <v>0.0</v>
      </c>
      <c r="H53" s="10">
        <f t="shared" si="5"/>
        <v>3842502.048</v>
      </c>
      <c r="I53" s="53">
        <v>2.4965580788834E7</v>
      </c>
      <c r="J53" s="10"/>
      <c r="K53" s="4"/>
      <c r="L53" s="4"/>
      <c r="M53" s="4"/>
    </row>
    <row r="54">
      <c r="A54" s="52">
        <v>84.0</v>
      </c>
      <c r="B54" s="52">
        <v>2065.0</v>
      </c>
      <c r="C54" s="29">
        <f t="shared" si="9"/>
        <v>21036670.3</v>
      </c>
      <c r="D54" s="12">
        <f t="shared" si="13"/>
        <v>4548373.209</v>
      </c>
      <c r="E54" s="12">
        <f t="shared" si="12"/>
        <v>97641.8097</v>
      </c>
      <c r="F54" s="55">
        <f t="shared" si="4"/>
        <v>3900139.579</v>
      </c>
      <c r="G54" s="10">
        <v>0.0</v>
      </c>
      <c r="H54" s="10">
        <f t="shared" si="5"/>
        <v>3900139.579</v>
      </c>
      <c r="I54" s="53">
        <v>2.56432134298978E7</v>
      </c>
      <c r="J54" s="10"/>
      <c r="K54" s="4"/>
      <c r="L54" s="4"/>
      <c r="M54" s="4"/>
    </row>
    <row r="55">
      <c r="A55" s="52">
        <v>85.0</v>
      </c>
      <c r="B55" s="52">
        <v>2066.0</v>
      </c>
      <c r="C55" s="29">
        <f t="shared" si="9"/>
        <v>21798587.06</v>
      </c>
      <c r="D55" s="12">
        <f t="shared" si="13"/>
        <v>4537082.539</v>
      </c>
      <c r="E55" s="12">
        <f t="shared" si="12"/>
        <v>-99917.14506</v>
      </c>
      <c r="F55" s="55">
        <f t="shared" si="4"/>
        <v>3958641.672</v>
      </c>
      <c r="G55" s="10">
        <v>0.0</v>
      </c>
      <c r="H55" s="10">
        <f t="shared" si="5"/>
        <v>3958641.672</v>
      </c>
      <c r="I55" s="53">
        <v>2.63208460709615E7</v>
      </c>
      <c r="J55" s="10"/>
      <c r="K55" s="4"/>
      <c r="L55" s="4"/>
      <c r="M55" s="4"/>
    </row>
    <row r="56">
      <c r="A56" s="52">
        <v>86.0</v>
      </c>
      <c r="B56" s="52">
        <v>2067.0</v>
      </c>
      <c r="C56" s="29">
        <f t="shared" si="9"/>
        <v>22579551.74</v>
      </c>
      <c r="D56" s="12">
        <f t="shared" si="13"/>
        <v>4525509.603</v>
      </c>
      <c r="E56" s="12">
        <f t="shared" si="12"/>
        <v>-302415.0737</v>
      </c>
      <c r="F56" s="55">
        <f t="shared" si="4"/>
        <v>4018021.297</v>
      </c>
      <c r="G56" s="10">
        <v>0.0</v>
      </c>
      <c r="H56" s="10">
        <f t="shared" si="5"/>
        <v>4018021.297</v>
      </c>
      <c r="I56" s="53">
        <v>2.69984787120253E7</v>
      </c>
      <c r="J56" s="10"/>
      <c r="K56" s="4"/>
      <c r="L56" s="4"/>
      <c r="M56" s="4"/>
    </row>
    <row r="57">
      <c r="A57" s="52">
        <v>87.0</v>
      </c>
      <c r="B57" s="52">
        <v>2068.0</v>
      </c>
      <c r="C57" s="29">
        <f t="shared" si="9"/>
        <v>23380040.53</v>
      </c>
      <c r="D57" s="12">
        <f t="shared" si="13"/>
        <v>4513647.343</v>
      </c>
      <c r="E57" s="12">
        <f t="shared" si="12"/>
        <v>-509975.4505</v>
      </c>
      <c r="F57" s="55">
        <f t="shared" si="4"/>
        <v>4078291.617</v>
      </c>
      <c r="G57" s="10">
        <v>0.0</v>
      </c>
      <c r="H57" s="10">
        <f t="shared" si="5"/>
        <v>4078291.617</v>
      </c>
      <c r="I57" s="53">
        <v>2.7676111353089E7</v>
      </c>
      <c r="J57" s="10"/>
      <c r="K57" s="4"/>
      <c r="L57" s="4"/>
      <c r="M57" s="4"/>
    </row>
    <row r="58">
      <c r="A58" s="52">
        <v>88.0</v>
      </c>
      <c r="B58" s="52">
        <v>2069.0</v>
      </c>
      <c r="C58" s="29">
        <f t="shared" si="9"/>
        <v>24200541.54</v>
      </c>
      <c r="D58" s="12">
        <f t="shared" si="13"/>
        <v>4501488.526</v>
      </c>
      <c r="E58" s="12">
        <f t="shared" si="12"/>
        <v>-722724.8368</v>
      </c>
      <c r="F58" s="55">
        <f t="shared" si="4"/>
        <v>4139465.991</v>
      </c>
      <c r="G58" s="10">
        <v>0.0</v>
      </c>
      <c r="H58" s="10">
        <f t="shared" si="5"/>
        <v>4139465.991</v>
      </c>
      <c r="I58" s="53">
        <v>2.83537439941528E7</v>
      </c>
      <c r="J58" s="10"/>
      <c r="K58" s="4"/>
      <c r="L58" s="4"/>
      <c r="M58" s="4"/>
    </row>
    <row r="59">
      <c r="A59" s="52">
        <v>89.0</v>
      </c>
      <c r="B59" s="52">
        <v>2070.0</v>
      </c>
      <c r="C59" s="29">
        <f t="shared" si="9"/>
        <v>25041555.08</v>
      </c>
      <c r="D59" s="12">
        <f t="shared" si="13"/>
        <v>4489025.739</v>
      </c>
      <c r="E59" s="12">
        <f t="shared" si="12"/>
        <v>-940792.9577</v>
      </c>
      <c r="F59" s="55">
        <f t="shared" si="4"/>
        <v>4201557.981</v>
      </c>
      <c r="G59" s="10">
        <v>0.0</v>
      </c>
      <c r="H59" s="10">
        <f t="shared" si="5"/>
        <v>4201557.981</v>
      </c>
      <c r="I59" s="53">
        <v>2.90313766352165E7</v>
      </c>
      <c r="J59" s="10"/>
      <c r="K59" s="4"/>
      <c r="L59" s="4"/>
      <c r="M59" s="4"/>
    </row>
    <row r="60">
      <c r="A60" s="52">
        <v>90.0</v>
      </c>
      <c r="B60" s="52">
        <v>2071.0</v>
      </c>
      <c r="C60" s="29">
        <f t="shared" si="9"/>
        <v>25903593.96</v>
      </c>
      <c r="D60" s="12">
        <f t="shared" si="13"/>
        <v>4476251.383</v>
      </c>
      <c r="E60" s="12">
        <f t="shared" si="12"/>
        <v>-1164312.782</v>
      </c>
      <c r="F60" s="55">
        <f t="shared" si="4"/>
        <v>4264581.351</v>
      </c>
      <c r="G60" s="10">
        <v>0.0</v>
      </c>
      <c r="H60" s="10">
        <f t="shared" si="5"/>
        <v>4264581.351</v>
      </c>
      <c r="I60" s="53">
        <v>2.97090092762803E7</v>
      </c>
      <c r="J60" s="10"/>
      <c r="K60" s="4"/>
      <c r="L60" s="4"/>
      <c r="M60" s="4"/>
    </row>
    <row r="61">
      <c r="A61" s="52">
        <v>91.0</v>
      </c>
      <c r="B61" s="52">
        <v>2072.0</v>
      </c>
      <c r="C61" s="29">
        <f t="shared" si="9"/>
        <v>26787183.81</v>
      </c>
      <c r="D61" s="12">
        <f t="shared" si="13"/>
        <v>4463157.667</v>
      </c>
      <c r="E61" s="12">
        <f t="shared" si="12"/>
        <v>-1393420.601</v>
      </c>
      <c r="F61" s="55">
        <f t="shared" si="4"/>
        <v>4328550.071</v>
      </c>
      <c r="G61" s="10">
        <v>0.0</v>
      </c>
      <c r="H61" s="10">
        <f t="shared" si="5"/>
        <v>4328550.071</v>
      </c>
      <c r="I61" s="53">
        <v>3.0386641917344E7</v>
      </c>
      <c r="J61" s="10"/>
      <c r="K61" s="4"/>
      <c r="L61" s="4"/>
      <c r="M61" s="4"/>
    </row>
    <row r="62">
      <c r="A62" s="52">
        <v>92.0</v>
      </c>
      <c r="B62" s="52">
        <v>2073.0</v>
      </c>
      <c r="C62" s="29">
        <f t="shared" si="9"/>
        <v>27692863.4</v>
      </c>
      <c r="D62" s="12">
        <f t="shared" si="13"/>
        <v>4449736.609</v>
      </c>
      <c r="E62" s="12">
        <f t="shared" si="12"/>
        <v>-1628256.116</v>
      </c>
      <c r="F62" s="55">
        <f t="shared" si="4"/>
        <v>4393478.322</v>
      </c>
      <c r="G62" s="10">
        <v>0.0</v>
      </c>
      <c r="H62" s="10">
        <f t="shared" si="5"/>
        <v>4393478.322</v>
      </c>
      <c r="I62" s="53">
        <v>3.10642745584078E7</v>
      </c>
      <c r="J62" s="10"/>
      <c r="K62" s="4"/>
      <c r="L62" s="4"/>
      <c r="M62" s="4"/>
    </row>
    <row r="63">
      <c r="A63" s="52">
        <v>93.0</v>
      </c>
      <c r="B63" s="52">
        <v>2074.0</v>
      </c>
      <c r="C63" s="29">
        <f t="shared" si="9"/>
        <v>28621184.99</v>
      </c>
      <c r="D63" s="12">
        <f t="shared" si="13"/>
        <v>4435980.024</v>
      </c>
      <c r="E63" s="12">
        <f t="shared" si="12"/>
        <v>-1868962.519</v>
      </c>
      <c r="F63" s="55">
        <f t="shared" si="4"/>
        <v>4459380.497</v>
      </c>
      <c r="G63" s="10">
        <v>0.0</v>
      </c>
      <c r="H63" s="10">
        <f t="shared" si="5"/>
        <v>4459380.497</v>
      </c>
      <c r="I63" s="53">
        <v>3.17419071994715E7</v>
      </c>
      <c r="J63" s="10"/>
      <c r="K63" s="4"/>
      <c r="L63" s="4"/>
      <c r="M63" s="4"/>
    </row>
    <row r="64">
      <c r="A64" s="52">
        <v>94.0</v>
      </c>
      <c r="B64" s="52">
        <v>2075.0</v>
      </c>
      <c r="C64" s="29">
        <f t="shared" si="9"/>
        <v>29572714.61</v>
      </c>
      <c r="D64" s="12">
        <f t="shared" si="13"/>
        <v>4421879.525</v>
      </c>
      <c r="E64" s="12">
        <f t="shared" si="12"/>
        <v>-2115686.582</v>
      </c>
      <c r="F64" s="55">
        <f t="shared" si="4"/>
        <v>4526271.204</v>
      </c>
      <c r="G64" s="10">
        <v>0.0</v>
      </c>
      <c r="H64" s="10">
        <f t="shared" si="5"/>
        <v>4526271.204</v>
      </c>
      <c r="I64" s="53">
        <v>3.24195398405353E7</v>
      </c>
      <c r="J64" s="10"/>
      <c r="K64" s="4"/>
      <c r="L64" s="4"/>
      <c r="M64" s="4"/>
    </row>
    <row r="65">
      <c r="A65" s="52">
        <v>95.0</v>
      </c>
      <c r="B65" s="52">
        <v>2076.0</v>
      </c>
      <c r="C65" s="29">
        <f t="shared" si="9"/>
        <v>30548032.48</v>
      </c>
      <c r="D65" s="12">
        <f t="shared" si="13"/>
        <v>4407426.513</v>
      </c>
      <c r="E65" s="12">
        <f t="shared" si="12"/>
        <v>-2368578.747</v>
      </c>
      <c r="F65" s="55">
        <f t="shared" si="4"/>
        <v>4594165.272</v>
      </c>
      <c r="G65" s="10">
        <v>0.0</v>
      </c>
      <c r="H65" s="10">
        <f t="shared" si="5"/>
        <v>4594165.272</v>
      </c>
      <c r="I65" s="53">
        <v>3.3097172481599E7</v>
      </c>
      <c r="J65" s="10"/>
      <c r="K65" s="4"/>
      <c r="L65" s="4"/>
      <c r="M65" s="4"/>
    </row>
    <row r="66">
      <c r="A66" s="52">
        <v>96.0</v>
      </c>
      <c r="B66" s="52">
        <v>2077.0</v>
      </c>
      <c r="C66" s="29">
        <f t="shared" si="9"/>
        <v>31547733.29</v>
      </c>
      <c r="D66" s="12">
        <f t="shared" si="13"/>
        <v>4392612.176</v>
      </c>
      <c r="E66" s="12">
        <f t="shared" si="12"/>
        <v>-2627793.215</v>
      </c>
      <c r="F66" s="55">
        <f t="shared" si="4"/>
        <v>4663077.751</v>
      </c>
      <c r="G66" s="10">
        <v>0.0</v>
      </c>
      <c r="H66" s="10">
        <f t="shared" si="5"/>
        <v>4663077.751</v>
      </c>
      <c r="I66" s="53">
        <v>3.37748051226628E7</v>
      </c>
      <c r="J66" s="10"/>
      <c r="K66" s="4"/>
      <c r="L66" s="4"/>
      <c r="M66" s="4"/>
    </row>
    <row r="67">
      <c r="A67" s="52">
        <v>97.0</v>
      </c>
      <c r="B67" s="52">
        <v>2078.0</v>
      </c>
      <c r="C67" s="29">
        <f t="shared" si="9"/>
        <v>32572426.62</v>
      </c>
      <c r="D67" s="12">
        <f t="shared" si="13"/>
        <v>4377427.48</v>
      </c>
      <c r="E67" s="12">
        <f t="shared" si="12"/>
        <v>-2893488.046</v>
      </c>
      <c r="F67" s="55">
        <f t="shared" si="4"/>
        <v>4733023.918</v>
      </c>
      <c r="G67" s="10">
        <v>0.0</v>
      </c>
      <c r="H67" s="10">
        <f t="shared" si="5"/>
        <v>4733023.918</v>
      </c>
      <c r="I67" s="53">
        <v>3.44524377637265E7</v>
      </c>
      <c r="J67" s="10"/>
      <c r="K67" s="4"/>
      <c r="L67" s="4"/>
      <c r="M67" s="4"/>
    </row>
    <row r="68">
      <c r="A68" s="52">
        <v>98.0</v>
      </c>
      <c r="B68" s="52">
        <v>2079.0</v>
      </c>
      <c r="C68" s="29">
        <f t="shared" si="9"/>
        <v>33622737.29</v>
      </c>
      <c r="D68" s="12">
        <f t="shared" si="13"/>
        <v>4361863.167</v>
      </c>
      <c r="E68" s="12">
        <f t="shared" si="12"/>
        <v>-3165825.247</v>
      </c>
      <c r="F68" s="55">
        <f t="shared" si="4"/>
        <v>4804019.276</v>
      </c>
      <c r="G68" s="10">
        <v>0.0</v>
      </c>
      <c r="H68" s="10">
        <f t="shared" si="5"/>
        <v>4804019.276</v>
      </c>
      <c r="I68" s="53">
        <v>3.51300704047903E7</v>
      </c>
      <c r="J68" s="10"/>
      <c r="K68" s="4"/>
      <c r="L68" s="4"/>
      <c r="M68" s="4"/>
    </row>
    <row r="69">
      <c r="A69" s="52">
        <v>99.0</v>
      </c>
      <c r="B69" s="52">
        <v>2080.0</v>
      </c>
      <c r="C69" s="29">
        <f t="shared" si="9"/>
        <v>34699305.72</v>
      </c>
      <c r="D69" s="12">
        <f t="shared" si="13"/>
        <v>4345909.747</v>
      </c>
      <c r="E69" s="12">
        <f t="shared" si="12"/>
        <v>-3444970.878</v>
      </c>
      <c r="F69" s="55">
        <f t="shared" si="4"/>
        <v>4876079.566</v>
      </c>
      <c r="G69" s="10">
        <v>0.0</v>
      </c>
      <c r="H69" s="10">
        <f t="shared" si="5"/>
        <v>4876079.566</v>
      </c>
      <c r="I69" s="53">
        <v>3.5807703045854E7</v>
      </c>
      <c r="J69" s="10"/>
      <c r="K69" s="4"/>
      <c r="L69" s="4"/>
      <c r="M69" s="4"/>
    </row>
    <row r="70">
      <c r="A70" s="52">
        <v>100.0</v>
      </c>
      <c r="B70" s="52">
        <v>2081.0</v>
      </c>
      <c r="C70" s="29">
        <f t="shared" si="9"/>
        <v>35802788.36</v>
      </c>
      <c r="D70" s="12">
        <f t="shared" si="13"/>
        <v>4329557.49</v>
      </c>
      <c r="E70" s="12">
        <f t="shared" si="12"/>
        <v>-3731095.15</v>
      </c>
      <c r="F70" s="55">
        <f t="shared" si="4"/>
        <v>4949220.759</v>
      </c>
      <c r="G70" s="10">
        <v>0.0</v>
      </c>
      <c r="H70" s="10">
        <f t="shared" si="5"/>
        <v>4949220.759</v>
      </c>
      <c r="I70" s="53">
        <v>3.64853356869178E7</v>
      </c>
      <c r="J70" s="10"/>
      <c r="K70" s="4"/>
      <c r="L70" s="4"/>
      <c r="M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63"/>
    <col customWidth="1" min="3" max="3" width="15.25"/>
    <col customWidth="1" min="4" max="4" width="16.0"/>
    <col customWidth="1" min="5" max="5" width="16.5"/>
    <col customWidth="1" min="6" max="6" width="21.5"/>
  </cols>
  <sheetData>
    <row r="1">
      <c r="A1" s="13" t="s">
        <v>50</v>
      </c>
      <c r="B1" s="13" t="s">
        <v>51</v>
      </c>
      <c r="C1" s="13">
        <v>2023.0</v>
      </c>
      <c r="D1" s="13">
        <v>2024.0</v>
      </c>
      <c r="E1" s="13">
        <v>2025.0</v>
      </c>
    </row>
    <row r="2">
      <c r="A2" s="56" t="s">
        <v>53</v>
      </c>
      <c r="B2" s="56" t="s">
        <v>54</v>
      </c>
      <c r="C2" s="57">
        <v>0.2625</v>
      </c>
      <c r="D2" s="58">
        <v>0.2494</v>
      </c>
      <c r="E2" s="58">
        <v>0.178</v>
      </c>
    </row>
    <row r="3">
      <c r="A3" s="56" t="s">
        <v>53</v>
      </c>
      <c r="B3" s="56" t="s">
        <v>56</v>
      </c>
      <c r="C3" s="57">
        <v>0.2611</v>
      </c>
      <c r="D3" s="58">
        <v>0.2371</v>
      </c>
      <c r="E3" s="58">
        <v>0.171</v>
      </c>
    </row>
    <row r="4">
      <c r="A4" s="56" t="s">
        <v>53</v>
      </c>
      <c r="B4" s="56" t="s">
        <v>57</v>
      </c>
      <c r="C4" s="57">
        <v>0.122</v>
      </c>
      <c r="D4" s="57">
        <v>0.223</v>
      </c>
      <c r="E4" s="57">
        <v>0.3092</v>
      </c>
    </row>
    <row r="5">
      <c r="A5" s="56" t="s">
        <v>58</v>
      </c>
      <c r="B5" s="56" t="s">
        <v>59</v>
      </c>
      <c r="C5" s="62">
        <f>(SUM('Net Worth Monthly'!G18:G21)-SUM('Net Worth Monthly'!B18:B21))/SUM('Net Worth Monthly'!B18:B21)</f>
        <v>0.3143870701</v>
      </c>
      <c r="D5" s="62">
        <f>(SUM('Net Worth Monthly'!K18:K21)-SUM('Net Worth Monthly'!H18:H21))/SUM('Net Worth Monthly'!H18:H21)</f>
        <v>0.1912594931</v>
      </c>
      <c r="E5" s="62">
        <f>(SUM('Net Worth Monthly'!P18:P21)-SUM('Net Worth Monthly'!L18:L21))/SUM('Net Worth Monthly'!L18:L21)</f>
        <v>0.04721334979</v>
      </c>
    </row>
    <row r="6">
      <c r="A6" s="56" t="s">
        <v>62</v>
      </c>
      <c r="B6" s="56" t="s">
        <v>63</v>
      </c>
      <c r="C6" s="65" t="str">
        <f>'Net Worth Monthly'!B36</f>
        <v/>
      </c>
      <c r="D6" s="65"/>
      <c r="E6" s="65" t="str">
        <f>'Net Worth Monthly'!D36</f>
        <v/>
      </c>
    </row>
    <row r="7">
      <c r="A7" s="56" t="s">
        <v>65</v>
      </c>
      <c r="B7" s="56" t="s">
        <v>66</v>
      </c>
      <c r="C7" s="69">
        <f>('Net Worth Monthly'!G16-'Net Worth Monthly'!B16)/'Net Worth Monthly'!B16</f>
        <v>0.1827916667</v>
      </c>
      <c r="D7" s="69">
        <f>('Net Worth Monthly'!K16-'Net Worth Monthly'!H16)/'Net Worth Monthly'!H16</f>
        <v>0.9398481428</v>
      </c>
      <c r="E7" s="69">
        <f>('Net Worth Monthly'!P16-'Net Worth Monthly'!L16)/'Net Worth Monthly'!L16</f>
        <v>0.2688156701</v>
      </c>
    </row>
    <row r="8">
      <c r="A8" s="56" t="s">
        <v>65</v>
      </c>
      <c r="B8" s="56" t="s">
        <v>67</v>
      </c>
      <c r="C8" s="69">
        <f>('Net Worth Monthly'!G22-'Net Worth Monthly'!B22)/'Net Worth Monthly'!B22</f>
        <v>0.2166731181</v>
      </c>
      <c r="D8" s="69">
        <f>('Net Worth Monthly'!K22-'Net Worth Monthly'!H22)/'Net Worth Monthly'!H22</f>
        <v>1.130325815</v>
      </c>
      <c r="E8" s="69">
        <f>('Net Worth Monthly'!P22-'Net Worth Monthly'!L22)/'Net Worth Monthly'!L22</f>
        <v>0.06035025381</v>
      </c>
    </row>
    <row r="9">
      <c r="A9" s="56" t="s">
        <v>68</v>
      </c>
      <c r="B9" s="56" t="s">
        <v>69</v>
      </c>
      <c r="C9" s="69">
        <f>('Net Worth Monthly'!G17-'Net Worth Monthly'!B17)/'Net Worth Monthly'!B17</f>
        <v>0.1263478261</v>
      </c>
      <c r="D9" s="69">
        <f>('Net Worth Monthly'!K17-'Net Worth Monthly'!H17)/'Net Worth Monthly'!H17</f>
        <v>0.1926058438</v>
      </c>
      <c r="E9" s="69">
        <f>('Net Worth Monthly'!P17-'Net Worth Monthly'!L17)/'Net Worth Monthly'!L17</f>
        <v>0.1377773651</v>
      </c>
    </row>
  </sheetData>
  <drawing r:id="rId1"/>
</worksheet>
</file>